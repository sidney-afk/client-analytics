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 Feed" sheetId="1" r:id="rId5"/>
  </sheets>
  <definedNames>
    <definedName hidden="1" localSheetId="0" name="_xlnm._FilterDatabase">'Instagram Feed'!$A$2:$F$11</definedName>
  </definedNames>
  <calcPr/>
</workbook>
</file>

<file path=xl/sharedStrings.xml><?xml version="1.0" encoding="utf-8"?>
<sst xmlns="http://schemas.openxmlformats.org/spreadsheetml/2006/main" count="89" uniqueCount="65">
  <si>
    <t>FILMING PLAN</t>
  </si>
  <si>
    <t>ASSET</t>
  </si>
  <si>
    <t>CAPTION</t>
  </si>
  <si>
    <t>Your heart doesn’t just grow when you become a mother in the poetic sense. It actually grows physically by an average of 12%.
Your blood volume expands. Your brain rewires itself. Your ribcage widens. Your bones lose density and rebuild. Your immune system recalibrates entirely.
This is not poetic language. This is biology.
So if motherhood feels like it's changing you beyond recognition, it's because it literally is. You are being remade from the inside out. 🤍
#motherhood #postpartum #momscience</t>
  </si>
  <si>
    <t>A passage from my book, The Mother Year, that I couldn't have written until I lived it.
Sometimes the words we need most are the ones no one ever said to us. 
This is me saying them to you. You are the hope. You were made for this. 🤍
#themotheryear #motherhood #momlife</t>
  </si>
  <si>
    <t>I've never felt so much love and been so lost at the same time when I became a mother. And that's the first lesson you learn - that you can hold so much more than you thought - that you could feel opposite things at the same time. It was disorienting.  And I sometimes wondered if I was the problem. No one told me there was a word for this - that it was normal. That becoming a mother was a process and that the disruption in sense of self would eventually settle.  
That word for this transition is matrescence, the whole-person transformation of becoming a mother. Your brain, body, identity, and sense of self are all shifting at once.
It's not a breakdown or weakness.
Nothing is wrong with you. Something is forming. 🤍
#matrescence #motherhood #postpartum</t>
  </si>
  <si>
    <t>My first two pregnancies were hard, really hard. 
Here's what I wish someone had told me:
Your gut microbiome shifts during pregnancy. Histamine increases, and your body may not have the enzymes to break it down yet. 
For me that meant severe headaches, nausea, anxiety, and poor sleep. Going gluten free and avoiding fermented foods helped but it was still just a very challenging season of slowing down.
Lower the bar. This is not the season to be your most productive self. Your body is building organs. 
Survival counts. Less noise. Less comparison. More rest. More protein. More honesty about how you actually feel. Pregnancy turns the volume up on your biology. Stop pretending otherwise. 🤍
#pregnancy #momhealth #motherhood</t>
  </si>
  <si>
    <t>I used to think the assignment after becoming a mother was to show everyone  - maybe even myself  - that I was still who I’d always been. Unaltered. Untouched. Still “me.      But you can’t ask a butterfly to crawl back into its cocoon.
Motherhood isn’t an intermission. It’s a reorganization. The woman who existed before is not the woman standing here now.
Not because she disappeared, but because she expanded.
The version of you that existed before is not the version standing here now.
You don't go back. You integrate. You expand. You grow into someone new.
And that person deserves to be met where she is, not measured against who she used to be. 🤍
#matrescence #motherhoodunfiltered #postpartum</t>
  </si>
  <si>
    <t>I saw a quote the other day that said "I know you would die for your kids, but would you live for them"? And it got me thinking about the models of motherhood that we have been given - on TV, in our own homes, in our friend's homes growing up . Most of us were taught that being a 'good mother" meant doing it all, the martyr who puts her own needs aside. Who cooks, cleans, has incredible activities lined up, was always organized and on time for everything. But who does that really serve? I know we sometimes think we are doing it for them, but our kids pick up on our energy so much more than we realize. They don't actually know about the endless sacrifices we put ourselves through - they don't know why we are in a bad mood or a good mood - all they can feel is the energy surrounding whatever it is that you are doing with them or for them - and that matters. 
They just want a mom who is present and feels like a real person, not someone who is constantly running on empty. 🤍
#motherhood #parenting #kids</t>
  </si>
  <si>
    <t>We stress so much about college funds and buying the right stuff, but the things that actually matter are completely free. 
Honestly, knowing how to find peace and just talk to God is a way better safety net when life actually gets hard. 🤍
#christianparenting #faithathome #raisingkids</t>
  </si>
  <si>
    <t>It takes so much energy to raise kids who aren't afraid of their own bigness, especially when we spent our whole lives learning to be small. 
The exhaustion makes total sense when you realize you're reparenting yourself at the exact same time. 🤍
#motherhood #parenting #family</t>
  </si>
  <si>
    <t>We talk about parenting like it's just a lifestyle change. 
But it's really the most intense, all-consuming management role you'll ever take on. 
Giving that weight a real name doesn't mean we don't love it. It just validates the exhaustion. 🤍
#honestmotherhood #mentalload #momtruth</t>
  </si>
  <si>
    <t xml:space="preserve">
It feels backwards at first to put your relationship before the kids when they demand so much of your energy. 
But realizing that taking care of us is actually taking care of them takes a lot of the heavy pressure off everyday parenting. 🤍
#parenting #marriage #family</t>
  </si>
  <si>
    <t xml:space="preserve">
It’s weird how the heaviest work usually leaves nothing to show for it at the end of the day. 
You can spend hours keeping everyone emotionally grounded and still feel like you accomplished nothing just because the laundry isn't done. 🤍
#motherhood #parenting #care</t>
  </si>
  <si>
    <t>I am holding a lot, you're holding a lot. Probably more than you can carry alone. Women (especially millenial women) are taught that self-reliance is the goal. Can you do EVERYTHING without help? Gold star. But I don't believe that's the way God sees us. I think he intentionally gives us more than we can handle so that he can step in when needed and surprise us.  
Realizing God actually just wants us to stop trying to carry the heavy stuff by ourselves completely changes how the day feels. It takes off so much pressure, which I think most of us could use today. 🤍
#god #faith #motherhood</t>
  </si>
  <si>
    <t>Science explains the biology, but watching a brand new soul function perfectly after being built on autopilot makes you certain there is a creator. 
You really can't convince me that kind of physical detail is just some giant cosmic accident. 🤍
#god #miracle #faith</t>
  </si>
  <si>
    <t>Most people think they're being "mature" when they swallow their truth, but you're actually teaching your partner that fake harmony is more important than real connection.
Every time you say "it's fine" when it's not, you're creating a tiny fracture in trust. Not because your partner did something wrong, but because they're living with a version of you that doesn't actually exist. They're loving a performance, not a person.
Here's what's really happening when you bite your tongue to avoid conflict: you're not protecting the relationship, you're protecting yourself from the vulnerability of being truly seen. But intimacy can't grow in the space between who you are and who you pretend to be.
The couples who stay together aren't the ones who never disagree. They're the ones who learned that temporary discomfort beats permanent distance every single time.
#relationships #truth #intimacy</t>
  </si>
  <si>
    <t>LINK TO POST</t>
  </si>
  <si>
    <t>https://f.io/HrlJ9F_i</t>
  </si>
  <si>
    <t>https://f.io/E0G0qZHz</t>
  </si>
  <si>
    <t>https://f.io/9tQxt1gL</t>
  </si>
  <si>
    <t>https://f.io/dCRgeHig</t>
  </si>
  <si>
    <t>https://f.io/GyZOB4Gt</t>
  </si>
  <si>
    <t>https://f.io/gXgNA9pn</t>
  </si>
  <si>
    <t>https://f.io/q1aRLLJ0</t>
  </si>
  <si>
    <t>https://f.io/j9ZjrmtW</t>
  </si>
  <si>
    <t>https://f.io/RaSXa6rF</t>
  </si>
  <si>
    <t>https://f.io/B-OqPTpZ</t>
  </si>
  <si>
    <t>https://f.io/3kNm70Ts</t>
  </si>
  <si>
    <t>https://f.io/3x-AxpyV</t>
  </si>
  <si>
    <t>https://f.io/pH82PWda</t>
  </si>
  <si>
    <t>https://f.io/jpafP3cw</t>
  </si>
  <si>
    <t>THUMBNAIL</t>
  </si>
  <si>
    <t>https://drive.google.com/file/d/1ju4rOgfUFW3M1te7kJ3-4AftQpRWSvPO/view?usp=drive_link</t>
  </si>
  <si>
    <t>https://drive.google.com/file/d/1FD3OAgutHr4YOLjIO361b0LQIfVa4asI/view?usp=drive_link</t>
  </si>
  <si>
    <t>https://drive.google.com/file/d/1NTsEek1TwojZYiXnDILV9MPtcdz5TKZC/view?usp=drive_link</t>
  </si>
  <si>
    <t>https://drive.google.com/file/d/1ODzv4tTuhWL2RZaD6R006KM1TmzXNnqs/view?usp=drive_link</t>
  </si>
  <si>
    <t>https://drive.google.com/file/d/1hpb4DolRg5rLslhxr7kMd_jkN6KOSuol/view?usp=drive_link</t>
  </si>
  <si>
    <t>CS_IG_Feb_Thumbnail9.png</t>
  </si>
  <si>
    <t>CS_IG_Feb_Thumbnail6.png</t>
  </si>
  <si>
    <t>CS_IG_Feb_Thumbnail8.png</t>
  </si>
  <si>
    <t>CS_IG_Feb_Thumbnail7.png</t>
  </si>
  <si>
    <t>CS_IG_Feb_Thumbnail10.png</t>
  </si>
  <si>
    <t>CS_IG_Feb_Thumbnail13.png</t>
  </si>
  <si>
    <t>CS_IG_Feb_Thumbnail11.png</t>
  </si>
  <si>
    <t>CS_IG_Feb_Thumbnail12.png</t>
  </si>
  <si>
    <t>https://f.io/Y8X8aZ1q</t>
  </si>
  <si>
    <t>Tiktok</t>
  </si>
  <si>
    <t>TWEAKS</t>
  </si>
  <si>
    <t xml:space="preserve">Good to go! </t>
  </si>
  <si>
    <t xml:space="preserve">good to go! </t>
  </si>
  <si>
    <t>In the actual video - First, let's cut out the part that says "and no, it may not be postpartum depression" - after thinking it over I don't want to wade into that subject.  Second, cut the "so no" before a the words: "this isn't a subpar review of your mothering" - there are two many times in this video where I say "so no" and it feels. I think we could also cut the line that says "its vulnerability during a period of active development" but I defer to you on that tone.    Also, can we make this picture on the thumbnail less yellow - maybe turn down the exposure?</t>
  </si>
  <si>
    <t>Can we swap the background music on this one? It was a little distracting. I like the music but maybe a different one? Also can we make this picture on the thumbnail less yellow - maybe turn down the exposure?</t>
  </si>
  <si>
    <t>can we change this thumbnail pic? The more I look at it, my eye looks a little weird</t>
  </si>
  <si>
    <t>I don't know why but my face looks really rough in this video - can we soften the light or something? The other videos don't look like that - which is strange? Also, let's change this thumbnail title to "You don't have to be a Martyr"</t>
  </si>
  <si>
    <t xml:space="preserve">Can you also soften the light or something because my face again looks a little more harsh in this video that it has in other videos for some reason </t>
  </si>
  <si>
    <t>same comment about the lighting on my face - it looks harsher than it did in other videos 
Note from Sidney: put footage of Chelsey with her boys</t>
  </si>
  <si>
    <t>smoothen lighting on face</t>
  </si>
  <si>
    <t>maybe change the thumbnail?</t>
  </si>
  <si>
    <t xml:space="preserve">I don't love the part that says "women are gods" because it kinda goes against the idea that there is A god - or am I overthinking it? Also, I am a little worried about using F**k on my page - can we bleep that out? and then also, maybe let's make the song stay the same throughout the clip? I like the clip that's playing during the movie portion? </t>
  </si>
  <si>
    <t>CTA</t>
  </si>
  <si>
    <t>Posted</t>
  </si>
  <si>
    <t>Approved</t>
  </si>
  <si>
    <t>Awaiting Chelsey Approval</t>
  </si>
  <si>
    <t xml:space="preserve">In The Works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</si>
</sst>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dddd m/d"/>
    <numFmt numFmtId="166" formatCode="mmm d"/>
  </numFmts>
  <fonts count="31">
    <font>
      <sz val="10.0"/>
      <color rgb="FF000000"/>
      <name val="Arial"/>
      <scheme val="minor"/>
    </font>
    <font>
      <sz val="11.0"/>
      <color theme="1"/>
      <name val="Montserrat"/>
    </font>
    <font>
      <color theme="1"/>
      <name val="Arial"/>
    </font>
    <font>
      <b/>
      <sz val="14.0"/>
      <color theme="1"/>
      <name val="Montserrat"/>
    </font>
    <font>
      <b/>
      <sz val="11.0"/>
      <color rgb="FFFF0000"/>
      <name val="Montserrat"/>
    </font>
    <font>
      <b/>
      <sz val="11.0"/>
      <color theme="1"/>
      <name val="Montserrat"/>
    </font>
    <font>
      <u/>
      <sz val="11.0"/>
      <color rgb="FF1155CC"/>
      <name val="Montserrat"/>
    </font>
    <font>
      <color theme="1"/>
      <name val="Montserrat"/>
    </font>
    <font>
      <b/>
      <sz val="11.0"/>
      <color theme="1"/>
      <name val="Arial"/>
    </font>
    <font>
      <u/>
      <sz val="11.0"/>
      <color rgb="FF0000FF"/>
      <name val="Montserrat"/>
    </font>
    <font>
      <u/>
      <sz val="11.0"/>
      <color rgb="FF1155CC"/>
      <name val="Montserrat"/>
    </font>
    <font>
      <u/>
      <sz val="11.0"/>
      <color rgb="FF1155CC"/>
      <name val="Montserrat"/>
    </font>
    <font>
      <u/>
      <sz val="11.0"/>
      <color rgb="FF1155CC"/>
      <name val="Montserrat"/>
    </font>
    <font>
      <u/>
      <sz val="11.0"/>
      <color rgb="FF1155CC"/>
      <name val="Montserrat"/>
    </font>
    <font>
      <u/>
      <sz val="11.0"/>
      <color rgb="FF1155CC"/>
      <name val="Montserrat"/>
    </font>
    <font>
      <u/>
      <sz val="11.0"/>
      <color rgb="FF1155CC"/>
      <name val="Montserrat"/>
    </font>
    <font>
      <u/>
      <sz val="11.0"/>
      <color rgb="FF1155CC"/>
      <name val="Montserrat"/>
    </font>
    <font>
      <u/>
      <sz val="11.0"/>
      <color theme="1"/>
      <name val="Montserrat"/>
    </font>
    <font>
      <u/>
      <sz val="11.0"/>
      <color theme="1"/>
      <name val="Montserrat"/>
    </font>
    <font>
      <u/>
      <sz val="11.0"/>
      <color theme="1"/>
      <name val="Montserrat"/>
    </font>
    <font>
      <u/>
      <sz val="11.0"/>
      <color rgb="FF1155CC"/>
      <name val="Montserrat"/>
    </font>
    <font>
      <sz val="10.0"/>
      <color rgb="FF000000"/>
      <name val="Montserrat"/>
    </font>
    <font>
      <color theme="1"/>
      <name val="Arial"/>
      <scheme val="minor"/>
    </font>
    <font>
      <sz val="11.0"/>
      <color theme="1"/>
      <name val="Arial"/>
    </font>
    <font>
      <color rgb="FF000000"/>
      <name val="Arial"/>
    </font>
    <font>
      <color rgb="FFFF0000"/>
      <name val="Arial"/>
      <scheme val="minor"/>
    </font>
    <font>
      <color rgb="FFFF0000"/>
      <name val="Arial"/>
    </font>
    <font>
      <b/>
      <color rgb="FF9900FF"/>
      <name val="Arial"/>
    </font>
    <font>
      <sz val="10.0"/>
      <color theme="1"/>
      <name val="Arial"/>
    </font>
    <font>
      <sz val="10.0"/>
      <color rgb="FFFF0000"/>
      <name val="Arial"/>
    </font>
    <font>
      <b/>
      <color rgb="FFFF0000"/>
      <name val="Arial"/>
    </font>
  </fonts>
  <fills count="7">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center" vertical="center"/>
    </xf>
    <xf borderId="0" fillId="3" fontId="2" numFmtId="0" xfId="0" applyAlignment="1" applyFont="1">
      <alignment horizontal="center" vertical="center"/>
    </xf>
    <xf borderId="0" fillId="3" fontId="2" numFmtId="0" xfId="0" applyAlignment="1" applyFont="1">
      <alignment horizontal="center" shrinkToFit="0" vertical="center" wrapText="1"/>
    </xf>
    <xf borderId="1" fillId="4" fontId="1" numFmtId="0" xfId="0" applyAlignment="1" applyBorder="1" applyFill="1" applyFont="1">
      <alignment horizontal="center" shrinkToFit="0" vertical="center" wrapText="1"/>
    </xf>
    <xf borderId="1" fillId="4" fontId="3" numFmtId="165" xfId="0" applyAlignment="1" applyBorder="1" applyFont="1" applyNumberFormat="1">
      <alignment horizontal="center" readingOrder="0" shrinkToFit="0" vertical="center" wrapText="1"/>
    </xf>
    <xf borderId="1" fillId="4" fontId="3" numFmtId="165" xfId="0" applyAlignment="1" applyBorder="1" applyFont="1" applyNumberFormat="1">
      <alignment horizontal="center" shrinkToFit="0" vertical="center" wrapText="1"/>
    </xf>
    <xf borderId="2" fillId="4" fontId="3" numFmtId="165" xfId="0" applyAlignment="1" applyBorder="1" applyFont="1" applyNumberFormat="1">
      <alignment horizontal="center" shrinkToFit="0" vertical="center" wrapText="1"/>
    </xf>
    <xf borderId="2" fillId="4" fontId="3" numFmtId="165" xfId="0" applyAlignment="1" applyBorder="1" applyFont="1" applyNumberFormat="1">
      <alignment horizontal="center" readingOrder="0" shrinkToFit="0" vertical="center" wrapText="1"/>
    </xf>
    <xf borderId="1" fillId="4" fontId="3" numFmtId="165" xfId="0" applyAlignment="1" applyBorder="1" applyFont="1" applyNumberFormat="1">
      <alignment horizontal="center" shrinkToFit="0" vertical="bottom" wrapText="1"/>
    </xf>
    <xf borderId="1" fillId="4" fontId="3" numFmtId="165" xfId="0" applyAlignment="1" applyBorder="1" applyFont="1" applyNumberFormat="1">
      <alignment horizontal="center" readingOrder="0" shrinkToFit="0" vertical="bottom" wrapText="1"/>
    </xf>
    <xf borderId="1" fillId="4" fontId="4" numFmtId="0" xfId="0" applyAlignment="1" applyBorder="1" applyFont="1">
      <alignment horizontal="center" readingOrder="0" shrinkToFit="0" vertical="center" wrapText="1"/>
    </xf>
    <xf borderId="1" fillId="4" fontId="4"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1" fillId="4" fontId="4" numFmtId="0" xfId="0" applyAlignment="1" applyBorder="1" applyFont="1">
      <alignment horizontal="center" shrinkToFit="0" vertical="bottom" wrapText="1"/>
    </xf>
    <xf borderId="1" fillId="4" fontId="4" numFmtId="0" xfId="0" applyAlignment="1" applyBorder="1" applyFont="1">
      <alignment horizontal="center" readingOrder="0" shrinkToFit="0" vertical="bottom" wrapText="1"/>
    </xf>
    <xf borderId="1" fillId="5" fontId="5" numFmtId="0" xfId="0" applyAlignment="1" applyBorder="1" applyFill="1" applyFont="1">
      <alignment horizontal="center" shrinkToFit="0" textRotation="90" vertical="center" wrapText="1"/>
    </xf>
    <xf borderId="1" fillId="2" fontId="1"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2" fontId="2" numFmtId="0" xfId="0" applyAlignment="1" applyBorder="1" applyFont="1">
      <alignment horizontal="center" vertical="center"/>
    </xf>
    <xf borderId="1" fillId="2"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shrinkToFit="0" wrapText="1"/>
    </xf>
    <xf borderId="1" fillId="0" fontId="2" numFmtId="0" xfId="0" applyAlignment="1" applyBorder="1" applyFont="1">
      <alignment horizontal="center" vertical="center"/>
    </xf>
    <xf borderId="1" fillId="2" fontId="2" numFmtId="0" xfId="0" applyAlignment="1" applyBorder="1" applyFont="1">
      <alignment horizontal="center"/>
    </xf>
    <xf borderId="1" fillId="2" fontId="8" numFmtId="0" xfId="0" applyAlignment="1" applyBorder="1" applyFont="1">
      <alignment horizontal="center" readingOrder="0" shrinkToFit="0" vertical="center" wrapText="1"/>
    </xf>
    <xf borderId="1" fillId="0" fontId="2" numFmtId="166" xfId="0" applyAlignment="1" applyBorder="1" applyFont="1" applyNumberFormat="1">
      <alignment horizontal="center" vertical="center"/>
    </xf>
    <xf borderId="1" fillId="0" fontId="2" numFmtId="0" xfId="0" applyAlignment="1" applyBorder="1" applyFont="1">
      <alignment horizontal="center" vertical="center"/>
    </xf>
    <xf borderId="1" fillId="0" fontId="8" numFmtId="166"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8" numFmtId="166" xfId="0" applyAlignment="1" applyBorder="1" applyFont="1" applyNumberFormat="1">
      <alignment horizontal="center" readingOrder="0" vertical="center"/>
    </xf>
    <xf borderId="1" fillId="2" fontId="2" numFmtId="0" xfId="0" applyAlignment="1" applyBorder="1" applyFont="1">
      <alignment shrinkToFit="0" wrapText="1"/>
    </xf>
    <xf borderId="1" fillId="2" fontId="2" numFmtId="0" xfId="0" applyAlignment="1" applyBorder="1" applyFont="1">
      <alignment horizontal="center" shrinkToFit="0" wrapText="1"/>
    </xf>
    <xf borderId="1" fillId="5" fontId="5" numFmtId="0" xfId="0" applyAlignment="1" applyBorder="1" applyFont="1">
      <alignment horizontal="center" shrinkToFit="0" textRotation="90" vertical="center" wrapText="1"/>
    </xf>
    <xf borderId="1" fillId="0"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2" fontId="1" numFmtId="0" xfId="0" applyAlignment="1" applyBorder="1" applyFont="1">
      <alignment horizontal="center" shrinkToFit="0" vertical="center" wrapText="1"/>
    </xf>
    <xf borderId="1" fillId="6"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shrinkToFit="0" wrapText="1"/>
    </xf>
    <xf borderId="1" fillId="2" fontId="1" numFmtId="0" xfId="0" applyAlignment="1" applyBorder="1" applyFont="1">
      <alignment horizontal="center" shrinkToFit="0" wrapText="1"/>
    </xf>
    <xf borderId="1" fillId="0" fontId="1" numFmtId="0" xfId="0" applyAlignment="1" applyBorder="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2" fontId="10"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3" fillId="2" fontId="12" numFmtId="0" xfId="0" applyAlignment="1" applyBorder="1" applyFont="1">
      <alignment horizontal="center" shrinkToFit="0" vertical="center" wrapText="1"/>
    </xf>
    <xf borderId="4" fillId="2" fontId="13"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2" fontId="16" numFmtId="0" xfId="0" applyAlignment="1" applyBorder="1" applyFont="1">
      <alignment horizontal="center" shrinkToFit="0" wrapText="1"/>
    </xf>
    <xf borderId="1" fillId="5" fontId="5" numFmtId="0" xfId="0" applyAlignment="1" applyBorder="1" applyFont="1">
      <alignment horizontal="center" readingOrder="0" shrinkToFit="0" textRotation="90" vertical="center" wrapText="1"/>
    </xf>
    <xf borderId="1" fillId="2" fontId="17" numFmtId="0" xfId="0" applyAlignment="1" applyBorder="1" applyFont="1">
      <alignment horizontal="center" readingOrder="0" shrinkToFit="0" vertical="center" wrapText="1"/>
    </xf>
    <xf borderId="1" fillId="2" fontId="18" numFmtId="0" xfId="0" applyAlignment="1" applyBorder="1" applyFont="1">
      <alignment horizontal="center" shrinkToFit="0" vertical="center" wrapText="1"/>
    </xf>
    <xf borderId="1" fillId="2" fontId="19" numFmtId="0" xfId="0" applyAlignment="1" applyBorder="1" applyFont="1">
      <alignment horizontal="center" shrinkToFit="0" vertical="center" wrapText="1"/>
    </xf>
    <xf borderId="1" fillId="2" fontId="20"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2" fontId="21"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0" fontId="22" numFmtId="0" xfId="0" applyBorder="1" applyFont="1"/>
    <xf borderId="1" fillId="0" fontId="2" numFmtId="0" xfId="0" applyAlignment="1" applyBorder="1" applyFont="1">
      <alignment vertical="center"/>
    </xf>
    <xf borderId="1" fillId="0" fontId="2" numFmtId="0" xfId="0" applyAlignment="1" applyBorder="1" applyFont="1">
      <alignment shrinkToFit="0" vertical="bottom" wrapText="1"/>
    </xf>
    <xf borderId="1" fillId="2" fontId="2" numFmtId="0" xfId="0" applyAlignment="1" applyBorder="1" applyFont="1">
      <alignment shrinkToFit="0" vertical="center" wrapText="1"/>
    </xf>
    <xf borderId="1" fillId="2" fontId="2" numFmtId="0" xfId="0" applyAlignment="1" applyBorder="1" applyFont="1">
      <alignment shrinkToFit="0" wrapText="1"/>
    </xf>
    <xf borderId="1" fillId="2"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2"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1" fillId="0" fontId="25"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1" fillId="0" fontId="27"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1" fillId="0" fontId="30" numFmtId="0" xfId="0" applyAlignment="1" applyBorder="1" applyFont="1">
      <alignment horizontal="center" readingOrder="0" shrinkToFit="0" vertical="center" wrapText="1"/>
    </xf>
    <xf borderId="1" fillId="0" fontId="2" numFmtId="0" xfId="0" applyAlignment="1" applyBorder="1" applyFont="1">
      <alignment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wrapText="1"/>
    </xf>
  </cellXfs>
  <cellStyles count="1">
    <cellStyle xfId="0" name="Normal" builtinId="0"/>
  </cellStyles>
  <dxfs count="4">
    <dxf>
      <font/>
      <fill>
        <patternFill patternType="solid">
          <fgColor rgb="FFFCE8B2"/>
          <bgColor rgb="FFFCE8B2"/>
        </patternFill>
      </fill>
      <border/>
    </dxf>
    <dxf>
      <font/>
      <fill>
        <patternFill patternType="solid">
          <fgColor rgb="FFB7E1CD"/>
          <bgColor rgb="FFB7E1CD"/>
        </patternFill>
      </fill>
      <border/>
    </dxf>
    <dxf>
      <font/>
      <fill>
        <patternFill patternType="solid">
          <fgColor theme="8"/>
          <bgColor theme="8"/>
        </patternFill>
      </fill>
      <border/>
    </dxf>
    <dxf>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MQLSWI_QLccwPlw5AGX0Si3ARw72zLKK/view?usp=sharing" TargetMode="External"/><Relationship Id="rId22" Type="http://schemas.openxmlformats.org/officeDocument/2006/relationships/hyperlink" Target="https://drive.google.com/file/d/1K-mrpNsPwoYgTaZvn0fDQpnZMlCBToSO/view?usp=drive_link" TargetMode="External"/><Relationship Id="rId21" Type="http://schemas.openxmlformats.org/officeDocument/2006/relationships/hyperlink" Target="https://drive.google.com/file/d/1VZAH6gXj3nn_ioCw9gbu1g0s6vR6Ork8/view?usp=drive_link" TargetMode="External"/><Relationship Id="rId24" Type="http://schemas.openxmlformats.org/officeDocument/2006/relationships/hyperlink" Target="https://drive.google.com/file/d/1D1i7P-oKKTKb06pDcdzg81Z1CeFYH6QV/view?usp=drive_link" TargetMode="External"/><Relationship Id="rId23" Type="http://schemas.openxmlformats.org/officeDocument/2006/relationships/hyperlink" Target="https://drive.google.com/file/d/1-JMzkmahpyql1PCEVI7kuTevIMZK_uXc/view?usp=drive_link" TargetMode="External"/><Relationship Id="rId1" Type="http://schemas.openxmlformats.org/officeDocument/2006/relationships/hyperlink" Target="https://f.io/HrlJ9F_i" TargetMode="External"/><Relationship Id="rId2" Type="http://schemas.openxmlformats.org/officeDocument/2006/relationships/hyperlink" Target="https://f.io/E0G0qZHz" TargetMode="External"/><Relationship Id="rId3" Type="http://schemas.openxmlformats.org/officeDocument/2006/relationships/hyperlink" Target="https://f.io/9tQxt1gL" TargetMode="External"/><Relationship Id="rId4" Type="http://schemas.openxmlformats.org/officeDocument/2006/relationships/hyperlink" Target="https://f.io/dCRgeHig" TargetMode="External"/><Relationship Id="rId9" Type="http://schemas.openxmlformats.org/officeDocument/2006/relationships/hyperlink" Target="https://f.io/RaSXa6rF" TargetMode="External"/><Relationship Id="rId26" Type="http://schemas.openxmlformats.org/officeDocument/2006/relationships/hyperlink" Target="https://drive.google.com/file/d/1U4b5_wdn87H5VKYLRPvthsT-SReU9Iu-/view?usp=drive_link" TargetMode="External"/><Relationship Id="rId25" Type="http://schemas.openxmlformats.org/officeDocument/2006/relationships/hyperlink" Target="https://drive.google.com/file/d/1RkOdcHTW19DJP-GbzeoYP0o-ym3PSzer/view?usp=drive_link" TargetMode="External"/><Relationship Id="rId28" Type="http://schemas.openxmlformats.org/officeDocument/2006/relationships/hyperlink" Target="https://f.io/Y8X8aZ1q" TargetMode="External"/><Relationship Id="rId27" Type="http://schemas.openxmlformats.org/officeDocument/2006/relationships/hyperlink" Target="https://drive.google.com/file/d/16w9u-mX_Bi6lZmZGWoZ75ET3hnABsUrU/view?usp=drive_link" TargetMode="External"/><Relationship Id="rId5" Type="http://schemas.openxmlformats.org/officeDocument/2006/relationships/hyperlink" Target="https://f.io/GyZOB4Gt" TargetMode="External"/><Relationship Id="rId6" Type="http://schemas.openxmlformats.org/officeDocument/2006/relationships/hyperlink" Target="https://f.io/gXgNA9pn" TargetMode="External"/><Relationship Id="rId29" Type="http://schemas.openxmlformats.org/officeDocument/2006/relationships/drawing" Target="../drawings/drawing1.xml"/><Relationship Id="rId7" Type="http://schemas.openxmlformats.org/officeDocument/2006/relationships/hyperlink" Target="https://f.io/q1aRLLJ0" TargetMode="External"/><Relationship Id="rId8" Type="http://schemas.openxmlformats.org/officeDocument/2006/relationships/hyperlink" Target="https://f.io/j9ZjrmtW" TargetMode="External"/><Relationship Id="rId11" Type="http://schemas.openxmlformats.org/officeDocument/2006/relationships/hyperlink" Target="https://f.io/3kNm70Ts" TargetMode="External"/><Relationship Id="rId10" Type="http://schemas.openxmlformats.org/officeDocument/2006/relationships/hyperlink" Target="https://f.io/B-OqPTpZ" TargetMode="External"/><Relationship Id="rId13" Type="http://schemas.openxmlformats.org/officeDocument/2006/relationships/hyperlink" Target="https://f.io/pH82PWda" TargetMode="External"/><Relationship Id="rId12" Type="http://schemas.openxmlformats.org/officeDocument/2006/relationships/hyperlink" Target="https://f.io/3x-AxpyV" TargetMode="External"/><Relationship Id="rId15" Type="http://schemas.openxmlformats.org/officeDocument/2006/relationships/hyperlink" Target="https://drive.google.com/file/d/1ju4rOgfUFW3M1te7kJ3-4AftQpRWSvPO/view?usp=drive_link" TargetMode="External"/><Relationship Id="rId14" Type="http://schemas.openxmlformats.org/officeDocument/2006/relationships/hyperlink" Target="https://f.io/jpafP3cw" TargetMode="External"/><Relationship Id="rId17" Type="http://schemas.openxmlformats.org/officeDocument/2006/relationships/hyperlink" Target="https://drive.google.com/file/d/1NTsEek1TwojZYiXnDILV9MPtcdz5TKZC/view?usp=drive_link" TargetMode="External"/><Relationship Id="rId16" Type="http://schemas.openxmlformats.org/officeDocument/2006/relationships/hyperlink" Target="https://drive.google.com/file/d/1FD3OAgutHr4YOLjIO361b0LQIfVa4asI/view?usp=drive_link" TargetMode="External"/><Relationship Id="rId19" Type="http://schemas.openxmlformats.org/officeDocument/2006/relationships/hyperlink" Target="https://drive.google.com/file/d/1hpb4DolRg5rLslhxr7kMd_jkN6KOSuol/view?usp=drive_link" TargetMode="External"/><Relationship Id="rId18" Type="http://schemas.openxmlformats.org/officeDocument/2006/relationships/hyperlink" Target="https://drive.google.com/file/d/1ODzv4tTuhWL2RZaD6R006KM1TmzXNnqs/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0"/>
    <col customWidth="1" min="2" max="12" width="43.63"/>
    <col customWidth="1" min="13" max="13" width="45.63"/>
    <col customWidth="1" min="14" max="75" width="43.63"/>
    <col customWidth="1" min="76" max="76" width="52.0"/>
    <col customWidth="1" min="77" max="108" width="43.63"/>
    <col customWidth="1" min="109" max="109" width="41.25"/>
    <col customWidth="1" min="110" max="166" width="43.63"/>
    <col customWidth="1" min="167" max="167" width="46.25"/>
    <col customWidth="1" min="168" max="226" width="43.63"/>
    <col customWidth="1" hidden="1" min="227" max="235" width="43.63"/>
  </cols>
  <sheetData>
    <row r="1">
      <c r="A1" s="1"/>
      <c r="B1" s="2"/>
      <c r="C1" s="2"/>
      <c r="D1" s="3"/>
      <c r="E1" s="2"/>
      <c r="F1" s="2"/>
      <c r="G1" s="4"/>
      <c r="H1" s="4"/>
      <c r="I1" s="4"/>
      <c r="J1" s="4"/>
      <c r="K1" s="5"/>
      <c r="L1" s="5"/>
      <c r="M1" s="5"/>
      <c r="N1" s="5"/>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2"/>
      <c r="HY1" s="2"/>
      <c r="HZ1" s="2"/>
      <c r="IA1" s="2"/>
    </row>
    <row r="2">
      <c r="A2" s="7"/>
      <c r="B2" s="8">
        <v>46078.0</v>
      </c>
      <c r="C2" s="8">
        <v>46080.0</v>
      </c>
      <c r="D2" s="8">
        <v>46083.0</v>
      </c>
      <c r="E2" s="8">
        <v>46085.0</v>
      </c>
      <c r="F2" s="8">
        <v>46087.0</v>
      </c>
      <c r="G2" s="8">
        <v>46092.0</v>
      </c>
      <c r="H2" s="8">
        <v>46094.0</v>
      </c>
      <c r="I2" s="8">
        <v>46097.0</v>
      </c>
      <c r="J2" s="8">
        <v>46099.0</v>
      </c>
      <c r="K2" s="8">
        <v>46101.0</v>
      </c>
      <c r="L2" s="8">
        <v>46106.0</v>
      </c>
      <c r="M2" s="8">
        <v>46108.0</v>
      </c>
      <c r="N2" s="8">
        <v>46111.0</v>
      </c>
      <c r="O2" s="8"/>
      <c r="P2" s="8"/>
      <c r="Q2" s="9"/>
      <c r="R2" s="9"/>
      <c r="S2" s="9"/>
      <c r="T2" s="8"/>
      <c r="U2" s="8"/>
      <c r="V2" s="8"/>
      <c r="W2" s="8"/>
      <c r="X2" s="8"/>
      <c r="Y2" s="8"/>
      <c r="Z2" s="8"/>
      <c r="AA2" s="8"/>
      <c r="AB2" s="8"/>
      <c r="AC2" s="8"/>
      <c r="AD2" s="8"/>
      <c r="AE2" s="8"/>
      <c r="AF2" s="8"/>
      <c r="AG2" s="8"/>
      <c r="AH2" s="8"/>
      <c r="AI2" s="8"/>
      <c r="AJ2" s="8"/>
      <c r="AK2" s="8"/>
      <c r="AL2" s="8"/>
      <c r="AM2" s="8"/>
      <c r="AN2" s="9"/>
      <c r="AO2" s="9"/>
      <c r="AP2" s="9"/>
      <c r="AQ2" s="9"/>
      <c r="AR2" s="9"/>
      <c r="AS2" s="8"/>
      <c r="AT2" s="9"/>
      <c r="AU2" s="9"/>
      <c r="AV2" s="9"/>
      <c r="AW2" s="9"/>
      <c r="AX2" s="8"/>
      <c r="AY2" s="9"/>
      <c r="AZ2" s="9"/>
      <c r="BA2" s="9"/>
      <c r="BB2" s="9"/>
      <c r="BC2" s="9"/>
      <c r="BD2" s="10"/>
      <c r="BE2" s="10"/>
      <c r="BF2" s="11"/>
      <c r="BG2" s="9"/>
      <c r="BH2" s="9"/>
      <c r="BI2" s="9"/>
      <c r="BJ2" s="9"/>
      <c r="BK2" s="9"/>
      <c r="BL2" s="8"/>
      <c r="BM2" s="8"/>
      <c r="BN2" s="9"/>
      <c r="BO2" s="8"/>
      <c r="BP2" s="8"/>
      <c r="BQ2" s="8"/>
      <c r="BR2" s="8"/>
      <c r="BS2" s="8"/>
      <c r="BT2" s="8"/>
      <c r="BU2" s="8"/>
      <c r="BV2" s="8"/>
      <c r="BW2" s="8"/>
      <c r="BX2" s="8"/>
      <c r="BY2" s="8"/>
      <c r="BZ2" s="8"/>
      <c r="CA2" s="8"/>
      <c r="CB2" s="8"/>
      <c r="CC2" s="8"/>
      <c r="CD2" s="8"/>
      <c r="CE2" s="8"/>
      <c r="CF2" s="9"/>
      <c r="CG2" s="9"/>
      <c r="CH2" s="9"/>
      <c r="CI2" s="9"/>
      <c r="CJ2" s="9"/>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12"/>
      <c r="EP2" s="12"/>
      <c r="EQ2" s="12"/>
      <c r="ER2" s="12"/>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8">
        <v>45992.0</v>
      </c>
      <c r="HT2" s="8"/>
      <c r="HU2" s="8"/>
      <c r="HV2" s="8"/>
      <c r="HW2" s="8"/>
      <c r="HX2" s="8"/>
      <c r="HY2" s="8"/>
      <c r="HZ2" s="8"/>
      <c r="IA2" s="8"/>
    </row>
    <row r="3">
      <c r="A3" s="7"/>
      <c r="B3" s="14" t="s">
        <v>0</v>
      </c>
      <c r="C3" s="14" t="s">
        <v>0</v>
      </c>
      <c r="D3" s="14" t="s">
        <v>0</v>
      </c>
      <c r="E3" s="14" t="s">
        <v>0</v>
      </c>
      <c r="F3" s="14" t="s">
        <v>0</v>
      </c>
      <c r="G3" s="15" t="s">
        <v>0</v>
      </c>
      <c r="H3" s="15" t="s">
        <v>0</v>
      </c>
      <c r="I3" s="15" t="s">
        <v>0</v>
      </c>
      <c r="J3" s="15" t="s">
        <v>0</v>
      </c>
      <c r="K3" s="15" t="s">
        <v>0</v>
      </c>
      <c r="L3" s="15" t="s">
        <v>0</v>
      </c>
      <c r="M3" s="15" t="s">
        <v>0</v>
      </c>
      <c r="N3" s="15" t="s">
        <v>0</v>
      </c>
      <c r="O3" s="15"/>
      <c r="P3" s="15"/>
      <c r="Q3" s="15"/>
      <c r="R3" s="15"/>
      <c r="S3" s="15"/>
      <c r="T3" s="15"/>
      <c r="U3" s="15"/>
      <c r="V3" s="15"/>
      <c r="W3" s="14"/>
      <c r="X3" s="15"/>
      <c r="Y3" s="15"/>
      <c r="Z3" s="14"/>
      <c r="AA3" s="15"/>
      <c r="AB3" s="15"/>
      <c r="AC3" s="15"/>
      <c r="AD3" s="14"/>
      <c r="AE3" s="15"/>
      <c r="AF3" s="15"/>
      <c r="AG3" s="15"/>
      <c r="AH3" s="15"/>
      <c r="AI3" s="15"/>
      <c r="AJ3" s="15"/>
      <c r="AK3" s="15"/>
      <c r="AL3" s="15"/>
      <c r="AM3" s="14"/>
      <c r="AN3" s="15"/>
      <c r="AO3" s="15"/>
      <c r="AP3" s="15"/>
      <c r="AQ3" s="14"/>
      <c r="AR3" s="15"/>
      <c r="AS3" s="15"/>
      <c r="AT3" s="15"/>
      <c r="AU3" s="15"/>
      <c r="AV3" s="15"/>
      <c r="AW3" s="15"/>
      <c r="AX3" s="15"/>
      <c r="AY3" s="15"/>
      <c r="AZ3" s="15"/>
      <c r="BA3" s="15"/>
      <c r="BB3" s="15"/>
      <c r="BC3" s="16"/>
      <c r="BD3" s="17"/>
      <c r="BE3" s="17"/>
      <c r="BF3" s="17"/>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4"/>
      <c r="DG3" s="15"/>
      <c r="DH3" s="15"/>
      <c r="DI3" s="15"/>
      <c r="DJ3" s="15"/>
      <c r="DK3" s="15"/>
      <c r="DL3" s="15"/>
      <c r="DM3" s="15"/>
      <c r="DN3" s="15"/>
      <c r="DO3" s="15"/>
      <c r="DP3" s="15"/>
      <c r="DQ3" s="14"/>
      <c r="DR3" s="15"/>
      <c r="DS3" s="15"/>
      <c r="DT3" s="14"/>
      <c r="DU3" s="15"/>
      <c r="DV3" s="15"/>
      <c r="DW3" s="15"/>
      <c r="DX3" s="14"/>
      <c r="DY3" s="14"/>
      <c r="DZ3" s="14"/>
      <c r="EA3" s="14"/>
      <c r="EB3" s="14"/>
      <c r="EC3" s="15"/>
      <c r="ED3" s="14"/>
      <c r="EE3" s="14"/>
      <c r="EF3" s="15"/>
      <c r="EG3" s="15"/>
      <c r="EH3" s="14"/>
      <c r="EI3" s="15"/>
      <c r="EJ3" s="15"/>
      <c r="EK3" s="15"/>
      <c r="EL3" s="14"/>
      <c r="EM3" s="14"/>
      <c r="EN3" s="15"/>
      <c r="EO3" s="18"/>
      <c r="EP3" s="18"/>
      <c r="EQ3" s="18"/>
      <c r="ER3" s="18"/>
      <c r="ES3" s="18"/>
      <c r="ET3" s="18"/>
      <c r="EU3" s="19"/>
      <c r="EV3" s="19"/>
      <c r="EW3" s="18"/>
      <c r="EX3" s="18"/>
      <c r="EY3" s="18"/>
      <c r="EZ3" s="18"/>
      <c r="FA3" s="19"/>
      <c r="FB3" s="18"/>
      <c r="FC3" s="18"/>
      <c r="FD3" s="19"/>
      <c r="FE3" s="19"/>
      <c r="FF3" s="18"/>
      <c r="FG3" s="18"/>
      <c r="FH3" s="18"/>
      <c r="FI3" s="19"/>
      <c r="FJ3" s="19"/>
      <c r="FK3" s="19"/>
      <c r="FL3" s="18"/>
      <c r="FM3" s="18"/>
      <c r="FN3" s="19"/>
      <c r="FO3" s="19"/>
      <c r="FP3" s="19"/>
      <c r="FQ3" s="19"/>
      <c r="FR3" s="18"/>
      <c r="FS3" s="18"/>
      <c r="FT3" s="19"/>
      <c r="FU3" s="19"/>
      <c r="FV3" s="18"/>
      <c r="FW3" s="18"/>
      <c r="FX3" s="18"/>
      <c r="FY3" s="19"/>
      <c r="FZ3" s="18"/>
      <c r="GA3" s="19"/>
      <c r="GB3" s="19"/>
      <c r="GC3" s="19"/>
      <c r="GD3" s="19"/>
      <c r="GE3" s="19"/>
      <c r="GF3" s="19"/>
      <c r="GG3" s="19"/>
      <c r="GH3" s="19"/>
      <c r="GI3" s="19"/>
      <c r="GJ3" s="19"/>
      <c r="GK3" s="19"/>
      <c r="GL3" s="18"/>
      <c r="GM3" s="18"/>
      <c r="GN3" s="19"/>
      <c r="GO3" s="19"/>
      <c r="GP3" s="19"/>
      <c r="GQ3" s="19"/>
      <c r="GR3" s="18"/>
      <c r="GS3" s="19"/>
      <c r="GT3" s="19"/>
      <c r="GU3" s="18"/>
      <c r="GV3" s="19"/>
      <c r="GW3" s="19"/>
      <c r="GX3" s="19"/>
      <c r="GY3" s="19"/>
      <c r="GZ3" s="19"/>
      <c r="HA3" s="19"/>
      <c r="HB3" s="19"/>
      <c r="HC3" s="19"/>
      <c r="HD3" s="19"/>
      <c r="HE3" s="19"/>
      <c r="HF3" s="19"/>
      <c r="HG3" s="19"/>
      <c r="HH3" s="19"/>
      <c r="HI3" s="19"/>
      <c r="HJ3" s="19"/>
      <c r="HK3" s="19"/>
      <c r="HL3" s="19"/>
      <c r="HM3" s="19"/>
      <c r="HN3" s="19"/>
      <c r="HO3" s="19"/>
      <c r="HP3" s="19"/>
      <c r="HQ3" s="19"/>
      <c r="HR3" s="19"/>
      <c r="HS3" s="15" t="s">
        <v>0</v>
      </c>
      <c r="HT3" s="14"/>
      <c r="HU3" s="14"/>
      <c r="HV3" s="14"/>
      <c r="HW3" s="14"/>
      <c r="HX3" s="14"/>
      <c r="HY3" s="15"/>
      <c r="HZ3" s="15"/>
      <c r="IA3" s="15"/>
    </row>
    <row r="4" ht="294.75" customHeight="1">
      <c r="A4" s="20" t="s">
        <v>1</v>
      </c>
      <c r="B4" s="21" t="str">
        <f>IMAGE("https://drive.google.com/uc?export=view&amp;id=1ju4rOgfUFW3M1te7kJ3-4AftQpRWSvPO")</f>
        <v/>
      </c>
      <c r="C4" s="22" t="str">
        <f>IMAGE("https://drive.google.com/uc?export=view&amp;id=1FD3OAgutHr4YOLjIO361b0LQIfVa4asI")</f>
        <v/>
      </c>
      <c r="D4" s="22" t="str">
        <f>IMAGE("https://drive.google.com/uc?export=view&amp;id=1NTsEek1TwojZYiXnDILV9MPtcdz5TKZC")</f>
        <v/>
      </c>
      <c r="E4" s="22" t="str">
        <f>IMAGE("https://drive.google.com/uc?export=view&amp;id=1ODzv4tTuhWL2RZaD6R006KM1TmzXNnqs")</f>
        <v/>
      </c>
      <c r="F4" s="22" t="str">
        <f>IMAGE("https://drive.google.com/uc?export=view&amp;id=1hpb4DolRg5rLslhxr7kMd_jkN6KOSuol")</f>
        <v/>
      </c>
      <c r="G4" s="23" t="str">
        <f>IMAGE("https://drive.google.com/uc?export=view&amp;id=1MQLSWI_QLccwPlw5AGX0Si3ARw72zLKK")</f>
        <v/>
      </c>
      <c r="H4" s="23" t="str">
        <f>IMAGE("https://drive.google.com/uc?export=view&amp;id=1VZAH6gXj3nn_ioCw9gbu1g0s6vR6Ork8")</f>
        <v/>
      </c>
      <c r="I4" s="23" t="str">
        <f>IMAGE("https://drive.google.com/uc?export=view&amp;id=1K-mrpNsPwoYgTaZvn0fDQpnZMlCBToSO")</f>
        <v/>
      </c>
      <c r="J4" s="23" t="str">
        <f>IMAGE("https://drive.google.com/uc?export=view&amp;id=1-JMzkmahpyql1PCEVI7kuTevIMZK_uXc")</f>
        <v/>
      </c>
      <c r="K4" s="24" t="str">
        <f>IMAGE("https://drive.google.com/uc?export=view&amp;id=1D1i7P-oKKTKb06pDcdzg81Z1CeFYH6QV")</f>
        <v/>
      </c>
      <c r="L4" s="24" t="str">
        <f>IMAGE("https://drive.google.com/uc?export=view&amp;id=1RkOdcHTW19DJP-GbzeoYP0o-ym3PSzer")</f>
        <v/>
      </c>
      <c r="M4" s="24" t="str">
        <f>IMAGE("https://drive.google.com/uc?export=view&amp;id=1U4b5_wdn87H5VKYLRPvthsT-SReU9Iu-")</f>
        <v/>
      </c>
      <c r="N4" s="24" t="str">
        <f>IMAGE("https://drive.google.com/uc?export=view&amp;id=16w9u-mX_Bi6lZmZGWoZ75ET3hnABsUrU")</f>
        <v/>
      </c>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6"/>
      <c r="AR4" s="25"/>
      <c r="AS4" s="25"/>
      <c r="AT4" s="25"/>
      <c r="AU4" s="25"/>
      <c r="AV4" s="25"/>
      <c r="AW4" s="25"/>
      <c r="AX4" s="27"/>
      <c r="AY4" s="25"/>
      <c r="AZ4" s="28"/>
      <c r="BA4" s="25"/>
      <c r="BB4" s="25"/>
      <c r="BC4" s="25"/>
      <c r="BD4" s="25"/>
      <c r="BE4" s="29"/>
      <c r="BF4" s="29"/>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30"/>
      <c r="DY4" s="28"/>
      <c r="DZ4" s="28"/>
      <c r="EA4" s="31"/>
      <c r="EB4" s="28"/>
      <c r="EC4" s="31"/>
      <c r="ED4" s="28"/>
      <c r="EE4" s="31"/>
      <c r="EF4" s="28"/>
      <c r="EG4" s="28"/>
      <c r="EH4" s="28"/>
      <c r="EI4" s="31"/>
      <c r="EJ4" s="28"/>
      <c r="EK4" s="28"/>
      <c r="EL4" s="31"/>
      <c r="EM4" s="28"/>
      <c r="EN4" s="31"/>
      <c r="EO4" s="32"/>
      <c r="EP4" s="33"/>
      <c r="EQ4" s="32"/>
      <c r="ER4" s="33"/>
      <c r="ES4" s="34"/>
      <c r="ET4" s="33"/>
      <c r="EU4" s="32"/>
      <c r="EV4" s="31"/>
      <c r="EW4" s="32"/>
      <c r="EX4" s="32"/>
      <c r="EY4" s="33"/>
      <c r="EZ4" s="33"/>
      <c r="FA4" s="28"/>
      <c r="FB4" s="33"/>
      <c r="FC4" s="33"/>
      <c r="FD4" s="33"/>
      <c r="FE4" s="28"/>
      <c r="FF4" s="28"/>
      <c r="FG4" s="33"/>
      <c r="FH4" s="35"/>
      <c r="FI4" s="36"/>
      <c r="FJ4" s="28"/>
      <c r="FK4" s="37"/>
      <c r="FL4" s="37"/>
      <c r="FM4" s="37"/>
      <c r="FN4" s="38"/>
      <c r="FO4" s="28"/>
      <c r="FP4" s="37"/>
      <c r="FQ4" s="37"/>
      <c r="FR4" s="39"/>
      <c r="FS4" s="40"/>
      <c r="FT4" s="40"/>
      <c r="FU4" s="28"/>
      <c r="FV4" s="40"/>
      <c r="FW4" s="28"/>
      <c r="FX4" s="40"/>
      <c r="FY4" s="40"/>
      <c r="FZ4" s="40"/>
      <c r="GA4" s="40"/>
      <c r="GB4" s="40"/>
      <c r="GC4" s="40"/>
      <c r="GD4" s="33"/>
      <c r="GE4" s="33"/>
      <c r="GF4" s="33"/>
      <c r="GG4" s="33"/>
      <c r="GH4" s="28"/>
      <c r="GI4" s="40"/>
      <c r="GJ4" s="40"/>
      <c r="GK4" s="40"/>
      <c r="GL4" s="40"/>
      <c r="GM4" s="40"/>
      <c r="GN4" s="40"/>
      <c r="GO4" s="28"/>
      <c r="GP4" s="40"/>
      <c r="GQ4" s="33"/>
      <c r="GR4" s="40"/>
      <c r="GS4" s="40"/>
      <c r="GT4" s="28"/>
      <c r="GU4" s="40"/>
      <c r="GV4" s="40"/>
      <c r="GW4" s="40"/>
      <c r="GX4" s="40"/>
      <c r="GY4" s="40"/>
      <c r="GZ4" s="40"/>
      <c r="HA4" s="40"/>
      <c r="HB4" s="28"/>
      <c r="HC4" s="40"/>
      <c r="HD4" s="40"/>
      <c r="HE4" s="40"/>
      <c r="HF4" s="40"/>
      <c r="HG4" s="40"/>
      <c r="HH4" s="40"/>
      <c r="HI4" s="40"/>
      <c r="HJ4" s="28"/>
      <c r="HK4" s="40"/>
      <c r="HL4" s="40"/>
      <c r="HM4" s="40"/>
      <c r="HN4" s="40"/>
      <c r="HO4" s="40"/>
      <c r="HP4" s="28"/>
      <c r="HQ4" s="40"/>
      <c r="HR4" s="40"/>
      <c r="HS4" s="41"/>
      <c r="HT4" s="25"/>
      <c r="HU4" s="25"/>
      <c r="HV4" s="25"/>
      <c r="HW4" s="25"/>
      <c r="HX4" s="30"/>
      <c r="HY4" s="30"/>
      <c r="HZ4" s="42"/>
      <c r="IA4" s="42"/>
    </row>
    <row r="5" ht="372.75" customHeight="1">
      <c r="A5" s="43" t="s">
        <v>2</v>
      </c>
      <c r="B5" s="31" t="s">
        <v>3</v>
      </c>
      <c r="C5" s="31" t="s">
        <v>4</v>
      </c>
      <c r="D5" s="31" t="s">
        <v>5</v>
      </c>
      <c r="E5" s="31" t="s">
        <v>6</v>
      </c>
      <c r="F5" s="31" t="s">
        <v>7</v>
      </c>
      <c r="G5" s="31" t="s">
        <v>8</v>
      </c>
      <c r="H5" s="44" t="s">
        <v>9</v>
      </c>
      <c r="I5" s="45" t="s">
        <v>10</v>
      </c>
      <c r="J5" s="45" t="s">
        <v>11</v>
      </c>
      <c r="K5" s="45" t="s">
        <v>12</v>
      </c>
      <c r="L5" s="45" t="s">
        <v>13</v>
      </c>
      <c r="M5" s="31" t="s">
        <v>14</v>
      </c>
      <c r="N5" s="45" t="s">
        <v>15</v>
      </c>
      <c r="O5" s="31"/>
      <c r="P5" s="31"/>
      <c r="Q5" s="31"/>
      <c r="R5" s="45"/>
      <c r="S5" s="46"/>
      <c r="T5" s="47"/>
      <c r="U5" s="47"/>
      <c r="V5" s="46"/>
      <c r="W5" s="31"/>
      <c r="X5" s="31"/>
      <c r="Y5" s="31"/>
      <c r="Z5" s="31"/>
      <c r="AA5" s="31"/>
      <c r="AB5" s="31"/>
      <c r="AC5" s="31"/>
      <c r="AD5" s="31"/>
      <c r="AE5" s="31"/>
      <c r="AF5" s="31"/>
      <c r="AG5" s="31"/>
      <c r="AH5" s="31"/>
      <c r="AI5" s="31"/>
      <c r="AJ5" s="31"/>
      <c r="AK5" s="31"/>
      <c r="AL5" s="31"/>
      <c r="AM5" s="45"/>
      <c r="AN5" s="31"/>
      <c r="AO5" s="31"/>
      <c r="AP5" s="31"/>
      <c r="AQ5" s="31"/>
      <c r="AR5" s="31"/>
      <c r="AS5" s="31"/>
      <c r="AT5" s="31"/>
      <c r="AU5" s="31"/>
      <c r="AV5" s="31"/>
      <c r="AW5" s="31"/>
      <c r="AX5" s="48"/>
      <c r="AY5" s="31"/>
      <c r="AZ5" s="45"/>
      <c r="BA5" s="31"/>
      <c r="BB5" s="31"/>
      <c r="BC5" s="31"/>
      <c r="BD5" s="45"/>
      <c r="BE5" s="49"/>
      <c r="BF5" s="49"/>
      <c r="BG5" s="45"/>
      <c r="BH5" s="31"/>
      <c r="BI5" s="45"/>
      <c r="BJ5" s="31"/>
      <c r="BK5" s="31"/>
      <c r="BL5" s="45"/>
      <c r="BM5" s="31"/>
      <c r="BN5" s="31"/>
      <c r="BO5" s="31"/>
      <c r="BP5" s="31"/>
      <c r="BQ5" s="44"/>
      <c r="BR5" s="31"/>
      <c r="BS5" s="31"/>
      <c r="BT5" s="31"/>
      <c r="BU5" s="31"/>
      <c r="BV5" s="45"/>
      <c r="BW5" s="31"/>
      <c r="BX5" s="31"/>
      <c r="BY5" s="45"/>
      <c r="BZ5" s="31"/>
      <c r="CA5" s="31"/>
      <c r="CB5" s="31"/>
      <c r="CC5" s="45"/>
      <c r="CD5" s="31"/>
      <c r="CE5" s="31"/>
      <c r="CF5" s="31"/>
      <c r="CG5" s="31"/>
      <c r="CH5" s="45"/>
      <c r="CI5" s="31"/>
      <c r="CJ5" s="45"/>
      <c r="CK5" s="31"/>
      <c r="CL5" s="45"/>
      <c r="CM5" s="31"/>
      <c r="CN5" s="45"/>
      <c r="CO5" s="45"/>
      <c r="CP5" s="45"/>
      <c r="CQ5" s="45"/>
      <c r="CR5" s="45"/>
      <c r="CS5" s="45"/>
      <c r="CT5" s="45"/>
      <c r="CU5" s="45"/>
      <c r="CV5" s="45"/>
      <c r="CW5" s="45"/>
      <c r="CX5" s="45"/>
      <c r="CY5" s="45"/>
      <c r="CZ5" s="31"/>
      <c r="DA5" s="31"/>
      <c r="DB5" s="45"/>
      <c r="DC5" s="45"/>
      <c r="DD5" s="45"/>
      <c r="DE5" s="50"/>
      <c r="DF5" s="31"/>
      <c r="DG5" s="45"/>
      <c r="DH5" s="45"/>
      <c r="DI5" s="45"/>
      <c r="DJ5" s="31"/>
      <c r="DK5" s="45"/>
      <c r="DL5" s="31"/>
      <c r="DM5" s="45"/>
      <c r="DN5" s="45"/>
      <c r="DO5" s="31"/>
      <c r="DP5" s="31"/>
      <c r="DQ5" s="31"/>
      <c r="DR5" s="45"/>
      <c r="DS5" s="45"/>
      <c r="DT5" s="31"/>
      <c r="DU5" s="45"/>
      <c r="DV5" s="31"/>
      <c r="DW5" s="45"/>
      <c r="DX5" s="31"/>
      <c r="DY5" s="45"/>
      <c r="DZ5" s="31"/>
      <c r="EA5" s="31"/>
      <c r="EB5" s="31"/>
      <c r="EC5" s="21"/>
      <c r="ED5" s="31"/>
      <c r="EE5" s="31"/>
      <c r="EF5" s="45"/>
      <c r="EG5" s="45"/>
      <c r="EH5" s="31"/>
      <c r="EI5" s="31"/>
      <c r="EJ5" s="45"/>
      <c r="EK5" s="45"/>
      <c r="EL5" s="31"/>
      <c r="EM5" s="31"/>
      <c r="EN5" s="31"/>
      <c r="EO5" s="31"/>
      <c r="EP5" s="45"/>
      <c r="EQ5" s="45"/>
      <c r="ER5" s="21"/>
      <c r="ES5" s="51"/>
      <c r="ET5" s="31"/>
      <c r="EU5" s="31"/>
      <c r="EV5" s="31"/>
      <c r="EW5" s="31"/>
      <c r="EX5" s="31"/>
      <c r="EY5" s="31"/>
      <c r="EZ5" s="31"/>
      <c r="FA5" s="31"/>
      <c r="FB5" s="31"/>
      <c r="FC5" s="31"/>
      <c r="FD5" s="31"/>
      <c r="FE5" s="31"/>
      <c r="FF5" s="31"/>
      <c r="FG5" s="31"/>
      <c r="FH5" s="31"/>
      <c r="FI5" s="45"/>
      <c r="FJ5" s="31"/>
      <c r="FK5" s="31"/>
      <c r="FL5" s="45"/>
      <c r="FM5" s="45"/>
      <c r="FN5" s="21"/>
      <c r="FO5" s="31"/>
      <c r="FP5" s="31"/>
      <c r="FQ5" s="31"/>
      <c r="FR5" s="45"/>
      <c r="FS5" s="31"/>
      <c r="FT5" s="31"/>
      <c r="FU5" s="31"/>
      <c r="FV5" s="31"/>
      <c r="FW5" s="31"/>
      <c r="FX5" s="31"/>
      <c r="FY5" s="31"/>
      <c r="FZ5" s="21"/>
      <c r="GA5" s="31"/>
      <c r="GB5" s="31"/>
      <c r="GC5" s="31"/>
      <c r="GD5" s="31"/>
      <c r="GE5" s="31"/>
      <c r="GF5" s="31"/>
      <c r="GG5" s="31"/>
      <c r="GH5" s="31"/>
      <c r="GI5" s="31"/>
      <c r="GJ5" s="31"/>
      <c r="GK5" s="31"/>
      <c r="GL5" s="31"/>
      <c r="GM5" s="31"/>
      <c r="GN5" s="31"/>
      <c r="GO5" s="31"/>
      <c r="GP5" s="31"/>
      <c r="GQ5" s="45"/>
      <c r="GR5" s="31"/>
      <c r="GS5" s="31"/>
      <c r="GT5" s="31"/>
      <c r="GU5" s="31"/>
      <c r="GV5" s="31"/>
      <c r="GW5" s="31"/>
      <c r="GX5" s="31"/>
      <c r="GY5" s="31"/>
      <c r="GZ5" s="31"/>
      <c r="HA5" s="31"/>
      <c r="HB5" s="31"/>
      <c r="HC5" s="31"/>
      <c r="HD5" s="31"/>
      <c r="HE5" s="31"/>
      <c r="HF5" s="31"/>
      <c r="HG5" s="45"/>
      <c r="HH5" s="45"/>
      <c r="HI5" s="31"/>
      <c r="HJ5" s="45"/>
      <c r="HK5" s="31"/>
      <c r="HL5" s="31"/>
      <c r="HM5" s="31"/>
      <c r="HN5" s="31"/>
      <c r="HO5" s="31"/>
      <c r="HP5" s="31"/>
      <c r="HQ5" s="31"/>
      <c r="HR5" s="31"/>
      <c r="HS5" s="52" t="s">
        <v>16</v>
      </c>
      <c r="HT5" s="53"/>
      <c r="HU5" s="53"/>
      <c r="HV5" s="53"/>
      <c r="HW5" s="53"/>
      <c r="HX5" s="31"/>
      <c r="HY5" s="31"/>
      <c r="HZ5" s="31"/>
      <c r="IA5" s="31"/>
    </row>
    <row r="6" ht="80.25" customHeight="1">
      <c r="A6" s="43" t="s">
        <v>17</v>
      </c>
      <c r="B6" s="22" t="s">
        <v>18</v>
      </c>
      <c r="C6" s="22" t="s">
        <v>19</v>
      </c>
      <c r="D6" s="54" t="s">
        <v>20</v>
      </c>
      <c r="E6" s="22" t="s">
        <v>21</v>
      </c>
      <c r="F6" s="54" t="s">
        <v>22</v>
      </c>
      <c r="G6" s="54" t="s">
        <v>23</v>
      </c>
      <c r="H6" s="54" t="s">
        <v>24</v>
      </c>
      <c r="I6" s="55" t="s">
        <v>25</v>
      </c>
      <c r="J6" s="55" t="s">
        <v>26</v>
      </c>
      <c r="K6" s="54" t="s">
        <v>27</v>
      </c>
      <c r="L6" s="56" t="s">
        <v>28</v>
      </c>
      <c r="M6" s="56" t="s">
        <v>29</v>
      </c>
      <c r="N6" s="56" t="s">
        <v>30</v>
      </c>
      <c r="O6" s="21"/>
      <c r="P6" s="21"/>
      <c r="Q6" s="55"/>
      <c r="R6" s="21"/>
      <c r="S6" s="21"/>
      <c r="T6" s="21"/>
      <c r="U6" s="21"/>
      <c r="V6" s="21"/>
      <c r="W6" s="55"/>
      <c r="X6" s="55"/>
      <c r="Y6" s="55"/>
      <c r="Z6" s="55"/>
      <c r="AA6" s="55"/>
      <c r="AB6" s="55"/>
      <c r="AC6" s="55"/>
      <c r="AD6" s="55"/>
      <c r="AE6" s="55"/>
      <c r="AF6" s="55"/>
      <c r="AG6" s="55"/>
      <c r="AH6" s="55"/>
      <c r="AI6" s="55"/>
      <c r="AJ6" s="55"/>
      <c r="AK6" s="21"/>
      <c r="AL6" s="55"/>
      <c r="AM6" s="55"/>
      <c r="AN6" s="55"/>
      <c r="AO6" s="55"/>
      <c r="AP6" s="55"/>
      <c r="AQ6" s="21"/>
      <c r="AR6" s="55"/>
      <c r="AS6" s="21"/>
      <c r="AT6" s="55"/>
      <c r="AU6" s="55"/>
      <c r="AV6" s="55"/>
      <c r="AW6" s="55"/>
      <c r="AX6" s="57"/>
      <c r="AY6" s="55"/>
      <c r="AZ6" s="55"/>
      <c r="BA6" s="55"/>
      <c r="BB6" s="55"/>
      <c r="BC6" s="21"/>
      <c r="BD6" s="55"/>
      <c r="BE6" s="58"/>
      <c r="BF6" s="58"/>
      <c r="BG6" s="55"/>
      <c r="BH6" s="55"/>
      <c r="BI6" s="55"/>
      <c r="BJ6" s="21"/>
      <c r="BK6" s="55"/>
      <c r="BL6" s="55"/>
      <c r="BM6" s="55"/>
      <c r="BN6" s="55"/>
      <c r="BO6" s="55"/>
      <c r="BP6" s="21"/>
      <c r="BQ6" s="59"/>
      <c r="BR6" s="55"/>
      <c r="BS6" s="55"/>
      <c r="BT6" s="21"/>
      <c r="BU6" s="21"/>
      <c r="BV6" s="55"/>
      <c r="BW6" s="55"/>
      <c r="BX6" s="55"/>
      <c r="BY6" s="55"/>
      <c r="BZ6" s="55"/>
      <c r="CA6" s="55"/>
      <c r="CB6" s="55"/>
      <c r="CC6" s="21"/>
      <c r="CD6" s="55"/>
      <c r="CE6" s="21"/>
      <c r="CF6" s="55"/>
      <c r="CG6" s="55"/>
      <c r="CH6" s="55"/>
      <c r="CI6" s="22"/>
      <c r="CJ6" s="21"/>
      <c r="CK6" s="55"/>
      <c r="CL6" s="55"/>
      <c r="CM6" s="21"/>
      <c r="CN6" s="55"/>
      <c r="CO6" s="55"/>
      <c r="CP6" s="55"/>
      <c r="CQ6" s="55"/>
      <c r="CR6" s="55"/>
      <c r="CS6" s="21"/>
      <c r="CT6" s="59"/>
      <c r="CU6" s="55"/>
      <c r="CV6" s="55"/>
      <c r="CW6" s="59"/>
      <c r="CX6" s="55"/>
      <c r="CY6" s="55"/>
      <c r="CZ6" s="55"/>
      <c r="DA6" s="60"/>
      <c r="DB6" s="55"/>
      <c r="DC6" s="55"/>
      <c r="DD6" s="59"/>
      <c r="DE6" s="55"/>
      <c r="DF6" s="22"/>
      <c r="DG6" s="55"/>
      <c r="DH6" s="55"/>
      <c r="DI6" s="55"/>
      <c r="DJ6" s="21"/>
      <c r="DK6" s="55"/>
      <c r="DL6" s="55"/>
      <c r="DM6" s="21"/>
      <c r="DN6" s="55"/>
      <c r="DO6" s="21"/>
      <c r="DP6" s="55"/>
      <c r="DQ6" s="21"/>
      <c r="DR6" s="55"/>
      <c r="DS6" s="55"/>
      <c r="DT6" s="22"/>
      <c r="DU6" s="55"/>
      <c r="DV6" s="55"/>
      <c r="DW6" s="55"/>
      <c r="DX6" s="55"/>
      <c r="DY6" s="55"/>
      <c r="DZ6" s="22"/>
      <c r="EA6" s="21"/>
      <c r="EB6" s="21"/>
      <c r="EC6" s="21"/>
      <c r="ED6" s="22"/>
      <c r="EE6" s="21"/>
      <c r="EF6" s="55"/>
      <c r="EG6" s="55"/>
      <c r="EH6" s="21"/>
      <c r="EI6" s="22"/>
      <c r="EJ6" s="21"/>
      <c r="EK6" s="21"/>
      <c r="EL6" s="21"/>
      <c r="EM6" s="55"/>
      <c r="EN6" s="21"/>
      <c r="EO6" s="55"/>
      <c r="EP6" s="55"/>
      <c r="EQ6" s="55"/>
      <c r="ER6" s="55"/>
      <c r="ES6" s="55"/>
      <c r="ET6" s="55"/>
      <c r="EU6" s="21"/>
      <c r="EV6" s="22"/>
      <c r="EW6" s="55"/>
      <c r="EX6" s="55"/>
      <c r="EY6" s="55"/>
      <c r="EZ6" s="22"/>
      <c r="FA6" s="22"/>
      <c r="FB6" s="21"/>
      <c r="FC6" s="21"/>
      <c r="FD6" s="21"/>
      <c r="FE6" s="21"/>
      <c r="FF6" s="55"/>
      <c r="FG6" s="21"/>
      <c r="FH6" s="22"/>
      <c r="FI6" s="55"/>
      <c r="FJ6" s="22"/>
      <c r="FK6" s="59"/>
      <c r="FL6" s="55"/>
      <c r="FM6" s="59"/>
      <c r="FN6" s="61"/>
      <c r="FO6" s="55"/>
      <c r="FP6" s="22"/>
      <c r="FQ6" s="22"/>
      <c r="FR6" s="59"/>
      <c r="FS6" s="21"/>
      <c r="FT6" s="22"/>
      <c r="FU6" s="21"/>
      <c r="FV6" s="22"/>
      <c r="FW6" s="21"/>
      <c r="FX6" s="22"/>
      <c r="FY6" s="22"/>
      <c r="FZ6" s="22"/>
      <c r="GA6" s="22"/>
      <c r="GB6" s="22"/>
      <c r="GC6" s="22"/>
      <c r="GD6" s="22"/>
      <c r="GE6" s="21"/>
      <c r="GF6" s="22"/>
      <c r="GG6" s="22"/>
      <c r="GH6" s="55"/>
      <c r="GI6" s="22"/>
      <c r="GJ6" s="22"/>
      <c r="GK6" s="22"/>
      <c r="GL6" s="22"/>
      <c r="GM6" s="22"/>
      <c r="GN6" s="22"/>
      <c r="GO6" s="55"/>
      <c r="GP6" s="21"/>
      <c r="GQ6" s="55"/>
      <c r="GR6" s="21"/>
      <c r="GS6" s="22"/>
      <c r="GT6" s="55"/>
      <c r="GU6" s="21"/>
      <c r="GV6" s="21"/>
      <c r="GW6" s="21"/>
      <c r="GX6" s="21"/>
      <c r="GY6" s="21"/>
      <c r="GZ6" s="21"/>
      <c r="HA6" s="21"/>
      <c r="HB6" s="55"/>
      <c r="HC6" s="21"/>
      <c r="HD6" s="21"/>
      <c r="HE6" s="21"/>
      <c r="HF6" s="21"/>
      <c r="HG6" s="55"/>
      <c r="HH6" s="55"/>
      <c r="HI6" s="21"/>
      <c r="HJ6" s="59"/>
      <c r="HK6" s="21"/>
      <c r="HL6" s="21"/>
      <c r="HM6" s="21"/>
      <c r="HN6" s="21"/>
      <c r="HO6" s="21"/>
      <c r="HP6" s="55"/>
      <c r="HQ6" s="21"/>
      <c r="HR6" s="21"/>
      <c r="HS6" s="62" t="s">
        <v>31</v>
      </c>
      <c r="HT6" s="55"/>
      <c r="HU6" s="55"/>
      <c r="HV6" s="55"/>
      <c r="HW6" s="55"/>
      <c r="HX6" s="21"/>
      <c r="HY6" s="55"/>
      <c r="HZ6" s="55"/>
      <c r="IA6" s="55"/>
    </row>
    <row r="7" ht="66.0" customHeight="1">
      <c r="A7" s="63" t="s">
        <v>32</v>
      </c>
      <c r="B7" s="54" t="s">
        <v>33</v>
      </c>
      <c r="C7" s="22" t="s">
        <v>34</v>
      </c>
      <c r="D7" s="54" t="s">
        <v>35</v>
      </c>
      <c r="E7" s="22" t="s">
        <v>36</v>
      </c>
      <c r="F7" s="22" t="s">
        <v>37</v>
      </c>
      <c r="G7" s="64" t="s">
        <v>38</v>
      </c>
      <c r="H7" s="65" t="s">
        <v>39</v>
      </c>
      <c r="I7" s="55" t="s">
        <v>40</v>
      </c>
      <c r="J7" s="65" t="s">
        <v>41</v>
      </c>
      <c r="K7" s="55" t="s">
        <v>42</v>
      </c>
      <c r="L7" s="65" t="s">
        <v>43</v>
      </c>
      <c r="M7" s="66" t="s">
        <v>44</v>
      </c>
      <c r="N7" s="66" t="s">
        <v>45</v>
      </c>
      <c r="O7" s="22"/>
      <c r="P7" s="22"/>
      <c r="Q7" s="55"/>
      <c r="R7" s="22"/>
      <c r="S7" s="21"/>
      <c r="T7" s="55"/>
      <c r="U7" s="67"/>
      <c r="V7" s="21"/>
      <c r="W7" s="55"/>
      <c r="X7" s="55"/>
      <c r="Y7" s="55"/>
      <c r="Z7" s="21"/>
      <c r="AA7" s="55"/>
      <c r="AB7" s="55"/>
      <c r="AC7" s="55"/>
      <c r="AD7" s="55"/>
      <c r="AE7" s="22"/>
      <c r="AF7" s="55"/>
      <c r="AG7" s="55"/>
      <c r="AH7" s="22"/>
      <c r="AI7" s="55"/>
      <c r="AJ7" s="55"/>
      <c r="AK7" s="21"/>
      <c r="AL7" s="55"/>
      <c r="AM7" s="55"/>
      <c r="AN7" s="55"/>
      <c r="AO7" s="55"/>
      <c r="AP7" s="21"/>
      <c r="AQ7" s="55"/>
      <c r="AR7" s="55"/>
      <c r="AS7" s="55"/>
      <c r="AT7" s="55"/>
      <c r="AU7" s="55"/>
      <c r="AV7" s="55"/>
      <c r="AW7" s="55"/>
      <c r="AX7" s="57"/>
      <c r="AY7" s="55"/>
      <c r="AZ7" s="55"/>
      <c r="BA7" s="22"/>
      <c r="BB7" s="55"/>
      <c r="BC7" s="55"/>
      <c r="BD7" s="21"/>
      <c r="BE7" s="58"/>
      <c r="BF7" s="58"/>
      <c r="BG7" s="55"/>
      <c r="BH7" s="55"/>
      <c r="BI7" s="21"/>
      <c r="BJ7" s="55"/>
      <c r="BK7" s="55"/>
      <c r="BL7" s="55"/>
      <c r="BM7" s="55"/>
      <c r="BN7" s="55"/>
      <c r="BO7" s="21"/>
      <c r="BP7" s="55"/>
      <c r="BQ7" s="59"/>
      <c r="BR7" s="55"/>
      <c r="BS7" s="55"/>
      <c r="BT7" s="55"/>
      <c r="BU7" s="22"/>
      <c r="BV7" s="55"/>
      <c r="BW7" s="22"/>
      <c r="BX7" s="55"/>
      <c r="BY7" s="55"/>
      <c r="BZ7" s="55"/>
      <c r="CA7" s="55"/>
      <c r="CB7" s="21"/>
      <c r="CC7" s="55"/>
      <c r="CD7" s="55"/>
      <c r="CE7" s="21"/>
      <c r="CF7" s="21"/>
      <c r="CG7" s="55"/>
      <c r="CH7" s="21"/>
      <c r="CI7" s="21"/>
      <c r="CJ7" s="55"/>
      <c r="CK7" s="55"/>
      <c r="CL7" s="55"/>
      <c r="CM7" s="55"/>
      <c r="CN7" s="55"/>
      <c r="CO7" s="55"/>
      <c r="CP7" s="55"/>
      <c r="CQ7" s="55"/>
      <c r="CR7" s="55"/>
      <c r="CS7" s="21"/>
      <c r="CT7" s="55"/>
      <c r="CU7" s="55"/>
      <c r="CV7" s="55"/>
      <c r="CW7" s="55"/>
      <c r="CX7" s="55"/>
      <c r="CY7" s="55"/>
      <c r="CZ7" s="55"/>
      <c r="DA7" s="55"/>
      <c r="DB7" s="55"/>
      <c r="DC7" s="55"/>
      <c r="DD7" s="55"/>
      <c r="DE7" s="22"/>
      <c r="DF7" s="22"/>
      <c r="DG7" s="55"/>
      <c r="DH7" s="55"/>
      <c r="DI7" s="55"/>
      <c r="DJ7" s="55"/>
      <c r="DK7" s="55"/>
      <c r="DL7" s="55"/>
      <c r="DM7" s="55"/>
      <c r="DN7" s="55"/>
      <c r="DO7" s="55"/>
      <c r="DP7" s="55"/>
      <c r="DQ7" s="55"/>
      <c r="DR7" s="55"/>
      <c r="DS7" s="55"/>
      <c r="DT7" s="55"/>
      <c r="DU7" s="55"/>
      <c r="DV7" s="55"/>
      <c r="DW7" s="55"/>
      <c r="DX7" s="55"/>
      <c r="DY7" s="55"/>
      <c r="DZ7" s="55"/>
      <c r="EA7" s="22"/>
      <c r="EB7" s="55"/>
      <c r="EC7" s="22"/>
      <c r="ED7" s="55"/>
      <c r="EE7" s="22"/>
      <c r="EF7" s="55"/>
      <c r="EG7" s="21"/>
      <c r="EH7" s="55"/>
      <c r="EI7" s="22"/>
      <c r="EJ7" s="55"/>
      <c r="EK7" s="55"/>
      <c r="EL7" s="22"/>
      <c r="EM7" s="55"/>
      <c r="EN7" s="22"/>
      <c r="EO7" s="21"/>
      <c r="EP7" s="55"/>
      <c r="EQ7" s="55"/>
      <c r="ER7" s="55"/>
      <c r="ES7" s="55"/>
      <c r="ET7" s="55"/>
      <c r="EU7" s="55"/>
      <c r="EV7" s="55"/>
      <c r="EW7" s="55"/>
      <c r="EX7" s="55"/>
      <c r="EY7" s="55"/>
      <c r="EZ7" s="22"/>
      <c r="FA7" s="55"/>
      <c r="FB7" s="22"/>
      <c r="FC7" s="21"/>
      <c r="FD7" s="21"/>
      <c r="FE7" s="55"/>
      <c r="FF7" s="55"/>
      <c r="FG7" s="21"/>
      <c r="FH7" s="22"/>
      <c r="FI7" s="55"/>
      <c r="FJ7" s="22"/>
      <c r="FK7" s="53"/>
      <c r="FL7" s="26"/>
      <c r="FM7" s="26"/>
      <c r="FN7" s="55"/>
      <c r="FO7" s="55"/>
      <c r="FP7" s="22"/>
      <c r="FQ7" s="22"/>
      <c r="FR7" s="26"/>
      <c r="FS7" s="21"/>
      <c r="FT7" s="55"/>
      <c r="FU7" s="21"/>
      <c r="FV7" s="22"/>
      <c r="FW7" s="55"/>
      <c r="FX7" s="22"/>
      <c r="FY7" s="22"/>
      <c r="FZ7" s="22"/>
      <c r="GA7" s="22"/>
      <c r="GB7" s="22"/>
      <c r="GC7" s="22"/>
      <c r="GD7" s="22"/>
      <c r="GE7" s="22"/>
      <c r="GF7" s="22"/>
      <c r="GG7" s="55"/>
      <c r="GH7" s="55"/>
      <c r="GI7" s="22"/>
      <c r="GJ7" s="22"/>
      <c r="GK7" s="22"/>
      <c r="GL7" s="22"/>
      <c r="GM7" s="22"/>
      <c r="GN7" s="22"/>
      <c r="GO7" s="22"/>
      <c r="GP7" s="22"/>
      <c r="GQ7" s="68"/>
      <c r="GR7" s="22"/>
      <c r="GS7" s="22"/>
      <c r="GT7" s="21"/>
      <c r="GU7" s="22"/>
      <c r="GV7" s="22"/>
      <c r="GW7" s="22"/>
      <c r="GX7" s="22"/>
      <c r="GY7" s="22"/>
      <c r="GZ7" s="22"/>
      <c r="HA7" s="22"/>
      <c r="HB7" s="55"/>
      <c r="HC7" s="69"/>
      <c r="HD7" s="69"/>
      <c r="HE7" s="69"/>
      <c r="HF7" s="69"/>
      <c r="HG7" s="70"/>
      <c r="HH7" s="70"/>
      <c r="HI7" s="69"/>
      <c r="HJ7" s="55"/>
      <c r="HK7" s="69"/>
      <c r="HL7" s="69"/>
      <c r="HM7" s="69"/>
      <c r="HN7" s="69"/>
      <c r="HO7" s="69"/>
      <c r="HP7" s="55"/>
      <c r="HQ7" s="69"/>
      <c r="HR7" s="69"/>
      <c r="HS7" s="62" t="s">
        <v>46</v>
      </c>
      <c r="HT7" s="55"/>
      <c r="HU7" s="55"/>
      <c r="HV7" s="55"/>
      <c r="HW7" s="55"/>
      <c r="HX7" s="22"/>
      <c r="HY7" s="55"/>
      <c r="HZ7" s="55"/>
      <c r="IA7" s="55"/>
    </row>
    <row r="8" ht="48.0" hidden="1" customHeight="1">
      <c r="A8" s="63" t="s">
        <v>47</v>
      </c>
      <c r="B8" s="30"/>
      <c r="C8" s="30"/>
      <c r="D8" s="39"/>
      <c r="E8" s="30"/>
      <c r="F8" s="30"/>
      <c r="G8" s="23"/>
      <c r="H8" s="33"/>
      <c r="I8" s="23"/>
      <c r="J8" s="23"/>
      <c r="K8" s="33"/>
      <c r="L8" s="33"/>
      <c r="M8" s="33"/>
      <c r="N8" s="33"/>
      <c r="O8" s="71"/>
      <c r="P8" s="71"/>
      <c r="Q8" s="71"/>
      <c r="R8" s="71"/>
      <c r="S8" s="71"/>
      <c r="T8" s="71"/>
      <c r="U8" s="71"/>
      <c r="V8" s="71"/>
      <c r="W8" s="25"/>
      <c r="X8" s="25"/>
      <c r="Y8" s="25"/>
      <c r="Z8" s="25"/>
      <c r="AA8" s="25"/>
      <c r="AB8" s="25"/>
      <c r="AC8" s="71"/>
      <c r="AD8" s="71"/>
      <c r="AE8" s="25"/>
      <c r="AF8" s="71"/>
      <c r="AG8" s="71"/>
      <c r="AH8" s="71"/>
      <c r="AI8" s="71"/>
      <c r="AJ8" s="71"/>
      <c r="AK8" s="25"/>
      <c r="AL8" s="71"/>
      <c r="AM8" s="25"/>
      <c r="AN8" s="25"/>
      <c r="AO8" s="25"/>
      <c r="AP8" s="25"/>
      <c r="AQ8" s="25"/>
      <c r="AR8" s="25"/>
      <c r="AS8" s="25"/>
      <c r="AT8" s="25"/>
      <c r="AU8" s="25"/>
      <c r="AV8" s="25"/>
      <c r="AW8" s="25"/>
      <c r="AX8" s="71"/>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72"/>
      <c r="FF8" s="25"/>
      <c r="FG8" s="25"/>
      <c r="FH8" s="25"/>
      <c r="FI8" s="25"/>
      <c r="FJ8" s="25"/>
      <c r="FK8" s="25"/>
      <c r="FL8" s="25"/>
      <c r="FM8" s="25"/>
      <c r="FN8" s="25"/>
      <c r="FO8" s="25"/>
      <c r="FP8" s="25"/>
      <c r="FQ8" s="25"/>
      <c r="FR8" s="25"/>
      <c r="FS8" s="25"/>
      <c r="FT8" s="25"/>
      <c r="FU8" s="72"/>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73"/>
      <c r="HH8" s="73"/>
      <c r="HI8" s="25"/>
      <c r="HJ8" s="25"/>
      <c r="HK8" s="25"/>
      <c r="HL8" s="25"/>
      <c r="HM8" s="25"/>
      <c r="HN8" s="25"/>
      <c r="HO8" s="25"/>
      <c r="HP8" s="25"/>
      <c r="HQ8" s="25"/>
      <c r="HR8" s="25"/>
      <c r="HS8" s="74"/>
      <c r="HT8" s="25"/>
      <c r="HU8" s="25"/>
      <c r="HV8" s="25"/>
      <c r="HW8" s="25"/>
      <c r="HX8" s="30"/>
      <c r="HY8" s="30"/>
      <c r="HZ8" s="75"/>
      <c r="IA8" s="76"/>
    </row>
    <row r="9" ht="138.0" customHeight="1">
      <c r="A9" s="43" t="s">
        <v>48</v>
      </c>
      <c r="B9" s="77" t="s">
        <v>49</v>
      </c>
      <c r="C9" s="77" t="s">
        <v>50</v>
      </c>
      <c r="D9" s="78" t="s">
        <v>51</v>
      </c>
      <c r="E9" s="78" t="s">
        <v>52</v>
      </c>
      <c r="F9" s="78" t="s">
        <v>53</v>
      </c>
      <c r="G9" s="78" t="s">
        <v>54</v>
      </c>
      <c r="H9" s="78" t="s">
        <v>55</v>
      </c>
      <c r="I9" s="78" t="s">
        <v>56</v>
      </c>
      <c r="J9" s="79" t="s">
        <v>57</v>
      </c>
      <c r="K9" s="80" t="s">
        <v>57</v>
      </c>
      <c r="L9" s="37"/>
      <c r="M9" s="80" t="s">
        <v>58</v>
      </c>
      <c r="N9" s="31" t="s">
        <v>59</v>
      </c>
      <c r="O9" s="81"/>
      <c r="P9" s="81"/>
      <c r="Q9" s="81"/>
      <c r="R9" s="81"/>
      <c r="S9" s="81"/>
      <c r="T9" s="81"/>
      <c r="U9" s="81"/>
      <c r="V9" s="81"/>
      <c r="W9" s="78"/>
      <c r="X9" s="82"/>
      <c r="Y9" s="78"/>
      <c r="Z9" s="83"/>
      <c r="AA9" s="78"/>
      <c r="AB9" s="78"/>
      <c r="AC9" s="81"/>
      <c r="AD9" s="81"/>
      <c r="AE9" s="78"/>
      <c r="AF9" s="81"/>
      <c r="AG9" s="81"/>
      <c r="AH9" s="81"/>
      <c r="AI9" s="81"/>
      <c r="AJ9" s="84"/>
      <c r="AK9" s="78"/>
      <c r="AL9" s="81"/>
      <c r="AM9" s="78"/>
      <c r="AN9" s="78"/>
      <c r="AO9" s="78"/>
      <c r="AP9" s="78"/>
      <c r="AQ9" s="85"/>
      <c r="AR9" s="78"/>
      <c r="AS9" s="86"/>
      <c r="AT9" s="86"/>
      <c r="AU9" s="86"/>
      <c r="AV9" s="87"/>
      <c r="AW9" s="86"/>
      <c r="AX9" s="71"/>
      <c r="AY9" s="86"/>
      <c r="AZ9" s="78"/>
      <c r="BA9" s="78"/>
      <c r="BB9" s="86"/>
      <c r="BC9" s="78"/>
      <c r="BD9" s="78"/>
      <c r="BE9" s="78"/>
      <c r="BF9" s="78"/>
      <c r="BG9" s="88"/>
      <c r="BH9" s="88"/>
      <c r="BI9" s="88"/>
      <c r="BJ9" s="88"/>
      <c r="BK9" s="89"/>
      <c r="BL9" s="88"/>
      <c r="BM9" s="88"/>
      <c r="BN9" s="88"/>
      <c r="BO9" s="88"/>
      <c r="BP9" s="88"/>
      <c r="BQ9" s="88"/>
      <c r="BR9" s="88"/>
      <c r="BS9" s="88"/>
      <c r="BT9" s="88"/>
      <c r="BU9" s="88"/>
      <c r="BV9" s="88"/>
      <c r="BW9" s="90"/>
      <c r="BX9" s="88"/>
      <c r="BY9" s="88"/>
      <c r="BZ9" s="88"/>
      <c r="CA9" s="88"/>
      <c r="CB9" s="88"/>
      <c r="CC9" s="82"/>
      <c r="CD9" s="88"/>
      <c r="CE9" s="88"/>
      <c r="CF9" s="88"/>
      <c r="CG9" s="88"/>
      <c r="CH9" s="78"/>
      <c r="CI9" s="78"/>
      <c r="CJ9" s="78"/>
      <c r="CK9" s="88"/>
      <c r="CL9" s="39"/>
      <c r="CM9" s="88"/>
      <c r="CN9" s="88"/>
      <c r="CO9" s="88"/>
      <c r="CP9" s="39"/>
      <c r="CQ9" s="39"/>
      <c r="CR9" s="88"/>
      <c r="CS9" s="88"/>
      <c r="CT9" s="39"/>
      <c r="CU9" s="78"/>
      <c r="CV9" s="78"/>
      <c r="CW9" s="78"/>
      <c r="CX9" s="78"/>
      <c r="CY9" s="78"/>
      <c r="CZ9" s="78"/>
      <c r="DA9" s="78"/>
      <c r="DB9" s="78"/>
      <c r="DC9" s="78"/>
      <c r="DD9" s="39"/>
      <c r="DE9" s="78"/>
      <c r="DF9" s="78"/>
      <c r="DG9" s="78"/>
      <c r="DH9" s="78"/>
      <c r="DI9" s="78"/>
      <c r="DJ9" s="78"/>
      <c r="DK9" s="78"/>
      <c r="DL9" s="88"/>
      <c r="DM9" s="91"/>
      <c r="DN9" s="78"/>
      <c r="DO9" s="78"/>
      <c r="DP9" s="78"/>
      <c r="DQ9" s="78"/>
      <c r="DR9" s="78"/>
      <c r="DS9" s="39"/>
      <c r="DT9" s="78"/>
      <c r="DU9" s="78"/>
      <c r="DV9" s="78"/>
      <c r="DW9" s="78"/>
      <c r="DX9" s="78"/>
      <c r="DY9" s="78"/>
      <c r="DZ9" s="78"/>
      <c r="EA9" s="82"/>
      <c r="EB9" s="78"/>
      <c r="EC9" s="82"/>
      <c r="ED9" s="78"/>
      <c r="EE9" s="78"/>
      <c r="EF9" s="78"/>
      <c r="EG9" s="78"/>
      <c r="EH9" s="78"/>
      <c r="EI9" s="78"/>
      <c r="EJ9" s="78"/>
      <c r="EK9" s="78"/>
      <c r="EL9" s="78"/>
      <c r="EM9" s="78"/>
      <c r="EN9" s="78"/>
      <c r="EO9" s="78"/>
      <c r="EP9" s="78"/>
      <c r="EQ9" s="78"/>
      <c r="ER9" s="78"/>
      <c r="ES9" s="78"/>
      <c r="ET9" s="82"/>
      <c r="EU9" s="78"/>
      <c r="EV9" s="78"/>
      <c r="EW9" s="39"/>
      <c r="EX9" s="78"/>
      <c r="EY9" s="82"/>
      <c r="EZ9" s="82"/>
      <c r="FA9" s="82"/>
      <c r="FB9" s="82"/>
      <c r="FC9" s="82"/>
      <c r="FD9" s="82"/>
      <c r="FE9" s="31"/>
      <c r="FF9" s="82"/>
      <c r="FG9" s="82"/>
      <c r="FH9" s="82"/>
      <c r="FI9" s="82"/>
      <c r="FJ9" s="82"/>
      <c r="FK9" s="82"/>
      <c r="FL9" s="82"/>
      <c r="FM9" s="82"/>
      <c r="FN9" s="78"/>
      <c r="FO9" s="88"/>
      <c r="FP9" s="82"/>
      <c r="FQ9" s="82"/>
      <c r="FR9" s="82"/>
      <c r="FS9" s="82"/>
      <c r="FT9" s="82"/>
      <c r="FU9" s="81"/>
      <c r="FV9" s="82"/>
      <c r="FW9" s="82"/>
      <c r="FX9" s="82"/>
      <c r="FY9" s="82"/>
      <c r="FZ9" s="82"/>
      <c r="GA9" s="82"/>
      <c r="GB9" s="82"/>
      <c r="GC9" s="82"/>
      <c r="GD9" s="82"/>
      <c r="GE9" s="82"/>
      <c r="GF9" s="82"/>
      <c r="GG9" s="82"/>
      <c r="GH9" s="82"/>
      <c r="GI9" s="82"/>
      <c r="GJ9" s="82"/>
      <c r="GK9" s="82"/>
      <c r="GL9" s="82"/>
      <c r="GM9" s="82"/>
      <c r="GN9" s="82"/>
      <c r="GO9" s="82"/>
      <c r="GP9" s="82"/>
      <c r="GQ9" s="82"/>
      <c r="GR9" s="82"/>
      <c r="GS9" s="82"/>
      <c r="GT9" s="82"/>
      <c r="GU9" s="82"/>
      <c r="GV9" s="82"/>
      <c r="GW9" s="82"/>
      <c r="GX9" s="82"/>
      <c r="GY9" s="82"/>
      <c r="GZ9" s="82"/>
      <c r="HA9" s="82"/>
      <c r="HB9" s="82"/>
      <c r="HC9" s="82"/>
      <c r="HD9" s="82"/>
      <c r="HE9" s="82"/>
      <c r="HF9" s="82"/>
      <c r="HG9" s="92"/>
      <c r="HH9" s="92"/>
      <c r="HI9" s="82"/>
      <c r="HJ9" s="39"/>
      <c r="HK9" s="82"/>
      <c r="HL9" s="82"/>
      <c r="HM9" s="82"/>
      <c r="HN9" s="82"/>
      <c r="HO9" s="82"/>
      <c r="HP9" s="88"/>
      <c r="HQ9" s="82"/>
      <c r="HR9" s="82"/>
      <c r="HS9" s="74"/>
      <c r="HT9" s="25"/>
      <c r="HU9" s="25"/>
      <c r="HV9" s="25"/>
      <c r="HW9" s="25"/>
      <c r="HX9" s="77"/>
      <c r="HY9" s="30"/>
      <c r="HZ9" s="75"/>
      <c r="IA9" s="76"/>
    </row>
    <row r="10" ht="47.25" customHeight="1">
      <c r="A10" s="63" t="s">
        <v>60</v>
      </c>
      <c r="B10" s="77"/>
      <c r="C10" s="77"/>
      <c r="D10" s="78"/>
      <c r="E10" s="77"/>
      <c r="F10" s="77"/>
      <c r="G10" s="23"/>
      <c r="H10" s="37"/>
      <c r="I10" s="23"/>
      <c r="J10" s="23"/>
      <c r="K10" s="37"/>
      <c r="L10" s="37"/>
      <c r="M10" s="33"/>
      <c r="N10" s="37"/>
      <c r="O10" s="81"/>
      <c r="P10" s="81"/>
      <c r="Q10" s="81"/>
      <c r="R10" s="81"/>
      <c r="S10" s="81"/>
      <c r="T10" s="81"/>
      <c r="U10" s="81"/>
      <c r="V10" s="81"/>
      <c r="W10" s="78"/>
      <c r="X10" s="82"/>
      <c r="Y10" s="78"/>
      <c r="Z10" s="83"/>
      <c r="AA10" s="78"/>
      <c r="AB10" s="78"/>
      <c r="AC10" s="81"/>
      <c r="AD10" s="81"/>
      <c r="AE10" s="78"/>
      <c r="AF10" s="81"/>
      <c r="AG10" s="81"/>
      <c r="AH10" s="81"/>
      <c r="AI10" s="81"/>
      <c r="AJ10" s="84"/>
      <c r="AK10" s="78"/>
      <c r="AL10" s="81"/>
      <c r="AM10" s="78"/>
      <c r="AN10" s="78"/>
      <c r="AO10" s="78"/>
      <c r="AP10" s="78"/>
      <c r="AQ10" s="85"/>
      <c r="AR10" s="78"/>
      <c r="AS10" s="86"/>
      <c r="AT10" s="86"/>
      <c r="AU10" s="86"/>
      <c r="AV10" s="87"/>
      <c r="AW10" s="86"/>
      <c r="AX10" s="71"/>
      <c r="AY10" s="86"/>
      <c r="AZ10" s="78"/>
      <c r="BA10" s="78"/>
      <c r="BB10" s="86"/>
      <c r="BC10" s="78"/>
      <c r="BD10" s="78"/>
      <c r="BE10" s="78"/>
      <c r="BF10" s="78"/>
      <c r="BG10" s="88"/>
      <c r="BH10" s="88"/>
      <c r="BI10" s="88"/>
      <c r="BJ10" s="88"/>
      <c r="BK10" s="89"/>
      <c r="BL10" s="88"/>
      <c r="BM10" s="88"/>
      <c r="BN10" s="88"/>
      <c r="BO10" s="88"/>
      <c r="BP10" s="88"/>
      <c r="BQ10" s="88"/>
      <c r="BR10" s="88"/>
      <c r="BS10" s="88"/>
      <c r="BT10" s="88"/>
      <c r="BU10" s="88"/>
      <c r="BV10" s="88"/>
      <c r="BW10" s="90"/>
      <c r="BX10" s="88"/>
      <c r="BY10" s="88"/>
      <c r="BZ10" s="88"/>
      <c r="CA10" s="88"/>
      <c r="CB10" s="88"/>
      <c r="CC10" s="82"/>
      <c r="CD10" s="88"/>
      <c r="CE10" s="88"/>
      <c r="CF10" s="88"/>
      <c r="CG10" s="88"/>
      <c r="CH10" s="78"/>
      <c r="CI10" s="78"/>
      <c r="CJ10" s="78"/>
      <c r="CK10" s="88"/>
      <c r="CL10" s="39"/>
      <c r="CM10" s="88"/>
      <c r="CN10" s="88"/>
      <c r="CO10" s="88"/>
      <c r="CP10" s="39"/>
      <c r="CQ10" s="39"/>
      <c r="CR10" s="88"/>
      <c r="CS10" s="88"/>
      <c r="CT10" s="39"/>
      <c r="CU10" s="78"/>
      <c r="CV10" s="78"/>
      <c r="CW10" s="78"/>
      <c r="CX10" s="78"/>
      <c r="CY10" s="78"/>
      <c r="CZ10" s="78"/>
      <c r="DA10" s="78"/>
      <c r="DB10" s="78"/>
      <c r="DC10" s="78"/>
      <c r="DD10" s="39"/>
      <c r="DE10" s="78"/>
      <c r="DF10" s="78"/>
      <c r="DG10" s="78"/>
      <c r="DH10" s="78"/>
      <c r="DI10" s="78"/>
      <c r="DJ10" s="78"/>
      <c r="DK10" s="78"/>
      <c r="DL10" s="88"/>
      <c r="DM10" s="91"/>
      <c r="DN10" s="78"/>
      <c r="DO10" s="78"/>
      <c r="DP10" s="78"/>
      <c r="DQ10" s="78"/>
      <c r="DR10" s="78"/>
      <c r="DS10" s="39"/>
      <c r="DT10" s="78"/>
      <c r="DU10" s="78"/>
      <c r="DV10" s="78"/>
      <c r="DW10" s="78"/>
      <c r="DX10" s="78"/>
      <c r="DY10" s="78"/>
      <c r="DZ10" s="78"/>
      <c r="EA10" s="82"/>
      <c r="EB10" s="78"/>
      <c r="EC10" s="82"/>
      <c r="ED10" s="78"/>
      <c r="EE10" s="78"/>
      <c r="EF10" s="78"/>
      <c r="EG10" s="78"/>
      <c r="EH10" s="78"/>
      <c r="EI10" s="78"/>
      <c r="EJ10" s="78"/>
      <c r="EK10" s="78"/>
      <c r="EL10" s="78"/>
      <c r="EM10" s="78"/>
      <c r="EN10" s="78"/>
      <c r="EO10" s="78"/>
      <c r="EP10" s="78"/>
      <c r="EQ10" s="78"/>
      <c r="ER10" s="78"/>
      <c r="ES10" s="78"/>
      <c r="ET10" s="78"/>
      <c r="EU10" s="78"/>
      <c r="EV10" s="78"/>
      <c r="EW10" s="78"/>
      <c r="EX10" s="78"/>
      <c r="EY10" s="78"/>
      <c r="EZ10" s="82"/>
      <c r="FA10" s="82"/>
      <c r="FB10" s="82"/>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39"/>
      <c r="HK10" s="78"/>
      <c r="HL10" s="78"/>
      <c r="HM10" s="78"/>
      <c r="HN10" s="78"/>
      <c r="HO10" s="78"/>
      <c r="HP10" s="78"/>
      <c r="HQ10" s="78"/>
      <c r="HR10" s="78"/>
      <c r="HS10" s="74"/>
      <c r="HT10" s="25"/>
      <c r="HU10" s="25"/>
      <c r="HV10" s="25"/>
      <c r="HW10" s="25"/>
      <c r="HX10" s="77"/>
      <c r="HY10" s="30"/>
      <c r="HZ10" s="75"/>
      <c r="IA10" s="76"/>
    </row>
    <row r="11">
      <c r="A11" s="93"/>
      <c r="B11" s="53" t="s">
        <v>61</v>
      </c>
      <c r="C11" s="53" t="s">
        <v>61</v>
      </c>
      <c r="D11" s="53" t="s">
        <v>61</v>
      </c>
      <c r="E11" s="53" t="s">
        <v>61</v>
      </c>
      <c r="F11" s="53" t="s">
        <v>61</v>
      </c>
      <c r="G11" s="53" t="s">
        <v>61</v>
      </c>
      <c r="H11" s="53" t="s">
        <v>61</v>
      </c>
      <c r="I11" s="53" t="s">
        <v>61</v>
      </c>
      <c r="J11" s="53" t="s">
        <v>61</v>
      </c>
      <c r="K11" s="53" t="s">
        <v>61</v>
      </c>
      <c r="L11" s="53" t="s">
        <v>62</v>
      </c>
      <c r="M11" s="53" t="s">
        <v>63</v>
      </c>
      <c r="N11" s="53" t="s">
        <v>63</v>
      </c>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94" t="s">
        <v>64</v>
      </c>
      <c r="HT11" s="44"/>
      <c r="HU11" s="44"/>
      <c r="HV11" s="44"/>
      <c r="HW11" s="44"/>
      <c r="HX11" s="53"/>
      <c r="HY11" s="44"/>
      <c r="HZ11" s="44"/>
      <c r="IA11" s="94"/>
    </row>
  </sheetData>
  <autoFilter ref="$A$2:$F$11"/>
  <conditionalFormatting sqref="B2:F3 G2:IA5 B5:F5 FK7 N9 FE9:FF9">
    <cfRule type="cellIs" dxfId="0" priority="1" operator="equal">
      <formula>"Waiting Approval"</formula>
    </cfRule>
  </conditionalFormatting>
  <conditionalFormatting sqref="B2:F3 G2:IA5 B5:F5 FK7 B9:IA11">
    <cfRule type="cellIs" dxfId="1" priority="2" operator="equal">
      <formula>"Approved"</formula>
    </cfRule>
  </conditionalFormatting>
  <conditionalFormatting sqref="B2:F3 G2:IA5 B5:F5 FK7 B9:IA11">
    <cfRule type="cellIs" dxfId="0" priority="3" operator="equal">
      <formula>"Waiting Client Approval"</formula>
    </cfRule>
  </conditionalFormatting>
  <conditionalFormatting sqref="B9:IA11 A11">
    <cfRule type="containsText" dxfId="2" priority="4" operator="containsText" text="In Quality Control">
      <formula>NOT(ISERROR(SEARCH(("In Quality Control"),(B9))))</formula>
    </cfRule>
  </conditionalFormatting>
  <conditionalFormatting sqref="B9:IA11 A11">
    <cfRule type="containsText" dxfId="3" priority="5" operator="containsText" text="Scheduled to Loomly">
      <formula>NOT(ISERROR(SEARCH(("Scheduled to Loomly"),(B9))))</formula>
    </cfRule>
  </conditionalFormatting>
  <dataValidations>
    <dataValidation type="list" allowBlank="1" sqref="L11:N11">
      <formula1>"Scheduled to IG,Approved,Awaiting Chelsey Approval,In The Works ,Posted,Missing Client Content,On Hold,Edits Made - Awaiting Client Approval"</formula1>
    </dataValidation>
    <dataValidation type="list" allowBlank="1" showErrorMessage="1" sqref="EG10:FJ10 FL10:GA10 GD10:HI10 HK10:HR10">
      <formula1>"YES,NO"</formula1>
    </dataValidation>
    <dataValidation type="list" allowBlank="1" sqref="A11:K11 O11:IA11">
      <formula1>"Scheduled to IG,Approved,Awaiting Client Approval,In The Works ,Edits Made - Awaiting Client Approval,Posted,Missing Client Content,On Hold"</formula1>
    </dataValidation>
  </dataValidations>
  <hyperlinks>
    <hyperlink r:id="rId1" ref="B6"/>
    <hyperlink r:id="rId2" ref="C6"/>
    <hyperlink r:id="rId3" ref="D6"/>
    <hyperlink r:id="rId4" ref="E6"/>
    <hyperlink r:id="rId5" ref="F6"/>
    <hyperlink r:id="rId6" ref="G6"/>
    <hyperlink r:id="rId7" ref="H6"/>
    <hyperlink r:id="rId8" ref="I6"/>
    <hyperlink r:id="rId9" ref="J6"/>
    <hyperlink r:id="rId10" ref="K6"/>
    <hyperlink r:id="rId11" ref="L6"/>
    <hyperlink r:id="rId12" ref="M6"/>
    <hyperlink r:id="rId13" ref="N6"/>
    <hyperlink r:id="rId14" ref="HS6"/>
    <hyperlink r:id="rId15" ref="B7"/>
    <hyperlink r:id="rId16" ref="C7"/>
    <hyperlink r:id="rId17" ref="D7"/>
    <hyperlink r:id="rId18" ref="E7"/>
    <hyperlink r:id="rId19" ref="F7"/>
    <hyperlink r:id="rId20" ref="G7"/>
    <hyperlink r:id="rId21" ref="H7"/>
    <hyperlink r:id="rId22" ref="I7"/>
    <hyperlink r:id="rId23" ref="J7"/>
    <hyperlink r:id="rId24" ref="K7"/>
    <hyperlink r:id="rId25" ref="L7"/>
    <hyperlink r:id="rId26" ref="M7"/>
    <hyperlink r:id="rId27" ref="N7"/>
    <hyperlink r:id="rId28" ref="HS7"/>
  </hyperlinks>
  <drawing r:id="rId29"/>
</worksheet>
</file>